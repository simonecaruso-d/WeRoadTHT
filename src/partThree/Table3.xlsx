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c\Desktop\Portfolio\WeRoadTHT\src\partThree\"/>
    </mc:Choice>
  </mc:AlternateContent>
  <xr:revisionPtr revIDLastSave="0" documentId="13_ncr:1_{D4929051-BDCC-417F-8A22-BD9E83DB4A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3" r:id="rId1"/>
    <sheet name="Historical data - Complete W12 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tSz/wIAGQiXFFFSRuugr8Z8XD1UTRkUz8gjKGIRYac=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AA117" i="2"/>
  <c r="W117" i="2"/>
  <c r="S117" i="2"/>
  <c r="O117" i="2"/>
  <c r="K117" i="2"/>
  <c r="H117" i="2"/>
  <c r="AA116" i="2"/>
  <c r="W116" i="2"/>
  <c r="S116" i="2"/>
  <c r="O116" i="2"/>
  <c r="K116" i="2"/>
  <c r="H116" i="2"/>
  <c r="AA115" i="2"/>
  <c r="W115" i="2"/>
  <c r="S115" i="2"/>
  <c r="O115" i="2"/>
  <c r="K115" i="2"/>
  <c r="H115" i="2"/>
  <c r="AA114" i="2"/>
  <c r="W114" i="2"/>
  <c r="S114" i="2"/>
  <c r="O114" i="2"/>
  <c r="K114" i="2"/>
  <c r="H114" i="2"/>
  <c r="AA113" i="2"/>
  <c r="W113" i="2"/>
  <c r="S113" i="2"/>
  <c r="O113" i="2"/>
  <c r="K113" i="2"/>
  <c r="H113" i="2"/>
  <c r="AA112" i="2"/>
  <c r="W112" i="2"/>
  <c r="S112" i="2"/>
  <c r="O112" i="2"/>
  <c r="J112" i="2"/>
  <c r="I112" i="2"/>
  <c r="K112" i="2" s="1"/>
  <c r="H112" i="2"/>
  <c r="AA111" i="2"/>
  <c r="W111" i="2"/>
  <c r="S111" i="2"/>
  <c r="O111" i="2"/>
  <c r="J111" i="2"/>
  <c r="I111" i="2"/>
  <c r="K111" i="2" s="1"/>
  <c r="H111" i="2"/>
  <c r="AA110" i="2"/>
  <c r="W110" i="2"/>
  <c r="S110" i="2"/>
  <c r="O110" i="2"/>
  <c r="K110" i="2"/>
  <c r="J110" i="2"/>
  <c r="I110" i="2"/>
  <c r="F110" i="2"/>
  <c r="H110" i="2" s="1"/>
  <c r="AA109" i="2"/>
  <c r="W109" i="2"/>
  <c r="S109" i="2"/>
  <c r="O109" i="2"/>
  <c r="J109" i="2"/>
  <c r="I109" i="2"/>
  <c r="K109" i="2" s="1"/>
  <c r="H109" i="2"/>
  <c r="AA108" i="2"/>
  <c r="W108" i="2"/>
  <c r="S108" i="2"/>
  <c r="O108" i="2"/>
  <c r="J108" i="2"/>
  <c r="I108" i="2"/>
  <c r="K108" i="2" s="1"/>
  <c r="H108" i="2"/>
  <c r="AA107" i="2"/>
  <c r="W107" i="2"/>
  <c r="S107" i="2"/>
  <c r="O107" i="2"/>
  <c r="J107" i="2"/>
  <c r="I107" i="2"/>
  <c r="K107" i="2" s="1"/>
  <c r="H107" i="2"/>
  <c r="AA106" i="2"/>
  <c r="W106" i="2"/>
  <c r="S106" i="2"/>
  <c r="O106" i="2"/>
  <c r="J106" i="2"/>
  <c r="I106" i="2"/>
  <c r="K106" i="2" s="1"/>
  <c r="H106" i="2"/>
  <c r="AA105" i="2"/>
  <c r="W105" i="2"/>
  <c r="S105" i="2"/>
  <c r="O105" i="2"/>
  <c r="J105" i="2"/>
  <c r="I105" i="2"/>
  <c r="K105" i="2" s="1"/>
  <c r="H105" i="2"/>
  <c r="AA104" i="2"/>
  <c r="W104" i="2"/>
  <c r="S104" i="2"/>
  <c r="O104" i="2"/>
  <c r="J104" i="2"/>
  <c r="I104" i="2"/>
  <c r="K104" i="2" s="1"/>
  <c r="H104" i="2"/>
  <c r="AA103" i="2"/>
  <c r="W103" i="2"/>
  <c r="S103" i="2"/>
  <c r="O103" i="2"/>
  <c r="J103" i="2"/>
  <c r="I103" i="2"/>
  <c r="K103" i="2" s="1"/>
  <c r="H103" i="2"/>
  <c r="AA102" i="2"/>
  <c r="W102" i="2"/>
  <c r="S102" i="2"/>
  <c r="O102" i="2"/>
  <c r="K102" i="2"/>
  <c r="H102" i="2"/>
  <c r="AA101" i="2"/>
  <c r="W101" i="2"/>
  <c r="S101" i="2"/>
  <c r="O101" i="2"/>
  <c r="J101" i="2"/>
  <c r="I101" i="2"/>
  <c r="K101" i="2" s="1"/>
  <c r="H101" i="2"/>
  <c r="AA100" i="2"/>
  <c r="W100" i="2"/>
  <c r="S100" i="2"/>
  <c r="O100" i="2"/>
  <c r="J100" i="2"/>
  <c r="I100" i="2"/>
  <c r="K100" i="2" s="1"/>
  <c r="H100" i="2"/>
  <c r="AA99" i="2"/>
  <c r="W99" i="2"/>
  <c r="S99" i="2"/>
  <c r="O99" i="2"/>
  <c r="K99" i="2"/>
  <c r="H99" i="2"/>
  <c r="AA98" i="2"/>
  <c r="W98" i="2"/>
  <c r="S98" i="2"/>
  <c r="O98" i="2"/>
  <c r="K98" i="2"/>
  <c r="H98" i="2"/>
  <c r="AA97" i="2"/>
  <c r="W97" i="2"/>
  <c r="S97" i="2"/>
  <c r="O97" i="2"/>
  <c r="K97" i="2"/>
  <c r="H97" i="2"/>
  <c r="AA96" i="2"/>
  <c r="W96" i="2"/>
  <c r="S96" i="2"/>
  <c r="O96" i="2"/>
  <c r="K96" i="2"/>
  <c r="H96" i="2"/>
  <c r="AA95" i="2"/>
  <c r="W95" i="2"/>
  <c r="S95" i="2"/>
  <c r="O95" i="2"/>
  <c r="K95" i="2"/>
  <c r="H95" i="2"/>
  <c r="AA94" i="2"/>
  <c r="W94" i="2"/>
  <c r="S94" i="2"/>
  <c r="O94" i="2"/>
  <c r="K94" i="2"/>
  <c r="H94" i="2"/>
  <c r="AA93" i="2"/>
  <c r="W93" i="2"/>
  <c r="S93" i="2"/>
  <c r="O93" i="2"/>
  <c r="K93" i="2"/>
  <c r="H93" i="2"/>
  <c r="AA92" i="2"/>
  <c r="W92" i="2"/>
  <c r="S92" i="2"/>
  <c r="O92" i="2"/>
  <c r="K92" i="2"/>
  <c r="H92" i="2"/>
  <c r="AA91" i="2"/>
  <c r="W91" i="2"/>
  <c r="S91" i="2"/>
  <c r="O91" i="2"/>
  <c r="K91" i="2"/>
  <c r="H91" i="2"/>
  <c r="AA90" i="2"/>
  <c r="W90" i="2"/>
  <c r="S90" i="2"/>
  <c r="O90" i="2"/>
  <c r="K90" i="2"/>
  <c r="H90" i="2"/>
  <c r="AA89" i="2"/>
  <c r="W89" i="2"/>
  <c r="S89" i="2"/>
  <c r="O89" i="2"/>
  <c r="K89" i="2"/>
  <c r="H89" i="2"/>
  <c r="AA88" i="2"/>
  <c r="W88" i="2"/>
  <c r="S88" i="2"/>
  <c r="O88" i="2"/>
  <c r="K88" i="2"/>
  <c r="H88" i="2"/>
  <c r="AA87" i="2"/>
  <c r="W87" i="2"/>
  <c r="S87" i="2"/>
  <c r="O87" i="2"/>
  <c r="K87" i="2"/>
  <c r="H87" i="2"/>
  <c r="AA86" i="2"/>
  <c r="W86" i="2"/>
  <c r="S86" i="2"/>
  <c r="O86" i="2"/>
  <c r="K86" i="2"/>
  <c r="H86" i="2"/>
  <c r="AA85" i="2"/>
  <c r="W85" i="2"/>
  <c r="S85" i="2"/>
  <c r="O85" i="2"/>
  <c r="K85" i="2"/>
  <c r="H85" i="2"/>
  <c r="AA84" i="2"/>
  <c r="W84" i="2"/>
  <c r="S84" i="2"/>
  <c r="O84" i="2"/>
  <c r="K84" i="2"/>
  <c r="H84" i="2"/>
  <c r="AA83" i="2"/>
  <c r="W83" i="2"/>
  <c r="S83" i="2"/>
  <c r="O83" i="2"/>
  <c r="K83" i="2"/>
  <c r="H83" i="2"/>
  <c r="AA82" i="2"/>
  <c r="W82" i="2"/>
  <c r="S82" i="2"/>
  <c r="O82" i="2"/>
  <c r="K82" i="2"/>
  <c r="H82" i="2"/>
  <c r="AA81" i="2"/>
  <c r="W81" i="2"/>
  <c r="S81" i="2"/>
  <c r="O81" i="2"/>
  <c r="K81" i="2"/>
  <c r="H81" i="2"/>
  <c r="AA80" i="2"/>
  <c r="W80" i="2"/>
  <c r="S80" i="2"/>
  <c r="O80" i="2"/>
  <c r="K80" i="2"/>
  <c r="H80" i="2"/>
  <c r="AA79" i="2"/>
  <c r="W79" i="2"/>
  <c r="S79" i="2"/>
  <c r="O79" i="2"/>
  <c r="K79" i="2"/>
  <c r="H79" i="2"/>
  <c r="AA78" i="2"/>
  <c r="W78" i="2"/>
  <c r="S78" i="2"/>
  <c r="O78" i="2"/>
  <c r="K78" i="2"/>
  <c r="H78" i="2"/>
  <c r="AA77" i="2"/>
  <c r="W77" i="2"/>
  <c r="S77" i="2"/>
  <c r="O77" i="2"/>
  <c r="K77" i="2"/>
  <c r="H77" i="2"/>
  <c r="AA76" i="2"/>
  <c r="W76" i="2"/>
  <c r="S76" i="2"/>
  <c r="O76" i="2"/>
  <c r="K76" i="2"/>
  <c r="H76" i="2"/>
  <c r="AA75" i="2"/>
  <c r="W75" i="2"/>
  <c r="S75" i="2"/>
  <c r="O75" i="2"/>
  <c r="K75" i="2"/>
  <c r="H75" i="2"/>
  <c r="AA74" i="2"/>
  <c r="W74" i="2"/>
  <c r="S74" i="2"/>
  <c r="O74" i="2"/>
  <c r="K74" i="2"/>
  <c r="H74" i="2"/>
  <c r="AA73" i="2"/>
  <c r="W73" i="2"/>
  <c r="S73" i="2"/>
  <c r="O73" i="2"/>
  <c r="K73" i="2"/>
  <c r="H73" i="2"/>
  <c r="AA72" i="2"/>
  <c r="W72" i="2"/>
  <c r="S72" i="2"/>
  <c r="O72" i="2"/>
  <c r="K72" i="2"/>
  <c r="H72" i="2"/>
  <c r="AA71" i="2"/>
  <c r="W71" i="2"/>
  <c r="S71" i="2"/>
  <c r="O71" i="2"/>
  <c r="K71" i="2"/>
  <c r="H71" i="2"/>
  <c r="AA70" i="2"/>
  <c r="W70" i="2"/>
  <c r="S70" i="2"/>
  <c r="O70" i="2"/>
  <c r="K70" i="2"/>
  <c r="H70" i="2"/>
  <c r="AA69" i="2"/>
  <c r="W69" i="2"/>
  <c r="S69" i="2"/>
  <c r="O69" i="2"/>
  <c r="K69" i="2"/>
  <c r="H69" i="2"/>
  <c r="AA68" i="2"/>
  <c r="W68" i="2"/>
  <c r="S68" i="2"/>
  <c r="O68" i="2"/>
  <c r="K68" i="2"/>
  <c r="H68" i="2"/>
  <c r="AA67" i="2"/>
  <c r="W67" i="2"/>
  <c r="S67" i="2"/>
  <c r="O67" i="2"/>
  <c r="K67" i="2"/>
  <c r="H67" i="2"/>
  <c r="AA66" i="2"/>
  <c r="W66" i="2"/>
  <c r="S66" i="2"/>
  <c r="O66" i="2"/>
  <c r="K66" i="2"/>
  <c r="H66" i="2"/>
  <c r="AA65" i="2"/>
  <c r="W65" i="2"/>
  <c r="S65" i="2"/>
  <c r="O65" i="2"/>
  <c r="K65" i="2"/>
  <c r="H65" i="2"/>
  <c r="AA64" i="2"/>
  <c r="W64" i="2"/>
  <c r="S64" i="2"/>
  <c r="O64" i="2"/>
  <c r="K64" i="2"/>
  <c r="H64" i="2"/>
  <c r="AA63" i="2"/>
  <c r="W63" i="2"/>
  <c r="S63" i="2"/>
  <c r="O63" i="2"/>
  <c r="K63" i="2"/>
  <c r="H63" i="2"/>
  <c r="AA62" i="2"/>
  <c r="W62" i="2"/>
  <c r="S62" i="2"/>
  <c r="O62" i="2"/>
  <c r="K62" i="2"/>
  <c r="H62" i="2"/>
  <c r="AA61" i="2"/>
  <c r="W61" i="2"/>
  <c r="S61" i="2"/>
  <c r="O61" i="2"/>
  <c r="K61" i="2"/>
  <c r="H61" i="2"/>
  <c r="AA60" i="2"/>
  <c r="W60" i="2"/>
  <c r="S60" i="2"/>
  <c r="O60" i="2"/>
  <c r="K60" i="2"/>
  <c r="H60" i="2"/>
  <c r="AA59" i="2"/>
  <c r="W59" i="2"/>
  <c r="S59" i="2"/>
  <c r="O59" i="2"/>
  <c r="K59" i="2"/>
  <c r="H59" i="2"/>
  <c r="AA58" i="2"/>
  <c r="W58" i="2"/>
  <c r="S58" i="2"/>
  <c r="O58" i="2"/>
  <c r="K58" i="2"/>
  <c r="H58" i="2"/>
  <c r="AA57" i="2"/>
  <c r="W57" i="2"/>
  <c r="S57" i="2"/>
  <c r="O57" i="2"/>
  <c r="K57" i="2"/>
  <c r="H57" i="2"/>
  <c r="AA56" i="2"/>
  <c r="W56" i="2"/>
  <c r="S56" i="2"/>
  <c r="O56" i="2"/>
  <c r="K56" i="2"/>
  <c r="H56" i="2"/>
  <c r="AA55" i="2"/>
  <c r="W55" i="2"/>
  <c r="S55" i="2"/>
  <c r="O55" i="2"/>
  <c r="K55" i="2"/>
  <c r="H55" i="2"/>
  <c r="AA54" i="2"/>
  <c r="W54" i="2"/>
  <c r="S54" i="2"/>
  <c r="O54" i="2"/>
  <c r="K54" i="2"/>
  <c r="H54" i="2"/>
  <c r="AA53" i="2"/>
  <c r="W53" i="2"/>
  <c r="S53" i="2"/>
  <c r="O53" i="2"/>
  <c r="K53" i="2"/>
  <c r="H53" i="2"/>
  <c r="AA52" i="2"/>
  <c r="W52" i="2"/>
  <c r="S52" i="2"/>
  <c r="O52" i="2"/>
  <c r="K52" i="2"/>
  <c r="H52" i="2"/>
  <c r="AA51" i="2"/>
  <c r="W51" i="2"/>
  <c r="S51" i="2"/>
  <c r="O51" i="2"/>
  <c r="K51" i="2"/>
  <c r="H51" i="2"/>
  <c r="AA50" i="2"/>
  <c r="W50" i="2"/>
  <c r="S50" i="2"/>
  <c r="O50" i="2"/>
  <c r="K50" i="2"/>
  <c r="H50" i="2"/>
  <c r="AA49" i="2"/>
  <c r="W49" i="2"/>
  <c r="S49" i="2"/>
  <c r="O49" i="2"/>
  <c r="K49" i="2"/>
  <c r="H49" i="2"/>
  <c r="AA48" i="2"/>
  <c r="W48" i="2"/>
  <c r="S48" i="2"/>
  <c r="O48" i="2"/>
  <c r="K48" i="2"/>
  <c r="H48" i="2"/>
  <c r="AA47" i="2"/>
  <c r="W47" i="2"/>
  <c r="S47" i="2"/>
  <c r="O47" i="2"/>
  <c r="K47" i="2"/>
  <c r="H47" i="2"/>
  <c r="AA46" i="2"/>
  <c r="W46" i="2"/>
  <c r="S46" i="2"/>
  <c r="O46" i="2"/>
  <c r="K46" i="2"/>
  <c r="H46" i="2"/>
  <c r="AA45" i="2"/>
  <c r="W45" i="2"/>
  <c r="S45" i="2"/>
  <c r="O45" i="2"/>
  <c r="K45" i="2"/>
  <c r="H45" i="2"/>
  <c r="AA44" i="2"/>
  <c r="W44" i="2"/>
  <c r="S44" i="2"/>
  <c r="O44" i="2"/>
  <c r="K44" i="2"/>
  <c r="H44" i="2"/>
  <c r="AA43" i="2"/>
  <c r="W43" i="2"/>
  <c r="S43" i="2"/>
  <c r="O43" i="2"/>
  <c r="K43" i="2"/>
  <c r="H43" i="2"/>
  <c r="AA42" i="2"/>
  <c r="W42" i="2"/>
  <c r="S42" i="2"/>
  <c r="O42" i="2"/>
  <c r="K42" i="2"/>
  <c r="H42" i="2"/>
  <c r="AA41" i="2"/>
  <c r="W41" i="2"/>
  <c r="S41" i="2"/>
  <c r="O41" i="2"/>
  <c r="K41" i="2"/>
  <c r="H41" i="2"/>
  <c r="AA40" i="2"/>
  <c r="W40" i="2"/>
  <c r="S40" i="2"/>
  <c r="O40" i="2"/>
  <c r="K40" i="2"/>
  <c r="H40" i="2"/>
  <c r="AA39" i="2"/>
  <c r="W39" i="2"/>
  <c r="S39" i="2"/>
  <c r="O39" i="2"/>
  <c r="K39" i="2"/>
  <c r="H39" i="2"/>
  <c r="AA38" i="2"/>
  <c r="W38" i="2"/>
  <c r="S38" i="2"/>
  <c r="O38" i="2"/>
  <c r="K38" i="2"/>
  <c r="H38" i="2"/>
  <c r="AA37" i="2"/>
  <c r="W37" i="2"/>
  <c r="S37" i="2"/>
  <c r="O37" i="2"/>
  <c r="K37" i="2"/>
  <c r="H37" i="2"/>
  <c r="AA36" i="2"/>
  <c r="W36" i="2"/>
  <c r="S36" i="2"/>
  <c r="O36" i="2"/>
  <c r="K36" i="2"/>
  <c r="H36" i="2"/>
  <c r="AA35" i="2"/>
  <c r="W35" i="2"/>
  <c r="S35" i="2"/>
  <c r="O35" i="2"/>
  <c r="K35" i="2"/>
  <c r="H35" i="2"/>
  <c r="AA34" i="2"/>
  <c r="W34" i="2"/>
  <c r="S34" i="2"/>
  <c r="O34" i="2"/>
  <c r="K34" i="2"/>
  <c r="H34" i="2"/>
  <c r="AA33" i="2"/>
  <c r="W33" i="2"/>
  <c r="S33" i="2"/>
  <c r="O33" i="2"/>
  <c r="K33" i="2"/>
  <c r="H33" i="2"/>
  <c r="AA32" i="2"/>
  <c r="W32" i="2"/>
  <c r="S32" i="2"/>
  <c r="O32" i="2"/>
  <c r="K32" i="2"/>
  <c r="H32" i="2"/>
  <c r="AA31" i="2"/>
  <c r="W31" i="2"/>
  <c r="S31" i="2"/>
  <c r="O31" i="2"/>
  <c r="K31" i="2"/>
  <c r="H31" i="2"/>
  <c r="AA30" i="2"/>
  <c r="W30" i="2"/>
  <c r="S30" i="2"/>
  <c r="O30" i="2"/>
  <c r="K30" i="2"/>
  <c r="H30" i="2"/>
  <c r="AA29" i="2"/>
  <c r="W29" i="2"/>
  <c r="S29" i="2"/>
  <c r="O29" i="2"/>
  <c r="K29" i="2"/>
  <c r="H29" i="2"/>
  <c r="AA28" i="2"/>
  <c r="W28" i="2"/>
  <c r="S28" i="2"/>
  <c r="O28" i="2"/>
  <c r="K28" i="2"/>
  <c r="H28" i="2"/>
  <c r="AA27" i="2"/>
  <c r="W27" i="2"/>
  <c r="S27" i="2"/>
  <c r="O27" i="2"/>
  <c r="K27" i="2"/>
  <c r="H27" i="2"/>
  <c r="AA26" i="2"/>
  <c r="W26" i="2"/>
  <c r="S26" i="2"/>
  <c r="O26" i="2"/>
  <c r="K26" i="2"/>
  <c r="H26" i="2"/>
  <c r="AA25" i="2"/>
  <c r="W25" i="2"/>
  <c r="S25" i="2"/>
  <c r="O25" i="2"/>
  <c r="K25" i="2"/>
  <c r="H25" i="2"/>
  <c r="AA24" i="2"/>
  <c r="W24" i="2"/>
  <c r="S24" i="2"/>
  <c r="O24" i="2"/>
  <c r="K24" i="2"/>
  <c r="H24" i="2"/>
  <c r="AA23" i="2"/>
  <c r="W23" i="2"/>
  <c r="S23" i="2"/>
  <c r="O23" i="2"/>
  <c r="K23" i="2"/>
  <c r="H23" i="2"/>
  <c r="AA22" i="2"/>
  <c r="W22" i="2"/>
  <c r="S22" i="2"/>
  <c r="O22" i="2"/>
  <c r="K22" i="2"/>
  <c r="H22" i="2"/>
  <c r="AA21" i="2"/>
  <c r="W21" i="2"/>
  <c r="S21" i="2"/>
  <c r="O21" i="2"/>
  <c r="K21" i="2"/>
  <c r="H21" i="2"/>
  <c r="AA20" i="2"/>
  <c r="W20" i="2"/>
  <c r="S20" i="2"/>
  <c r="O20" i="2"/>
  <c r="K20" i="2"/>
  <c r="H20" i="2"/>
  <c r="AA19" i="2"/>
  <c r="W19" i="2"/>
  <c r="S19" i="2"/>
  <c r="O19" i="2"/>
  <c r="K19" i="2"/>
  <c r="H19" i="2"/>
  <c r="AA18" i="2"/>
  <c r="W18" i="2"/>
  <c r="S18" i="2"/>
  <c r="O18" i="2"/>
  <c r="K18" i="2"/>
  <c r="H18" i="2"/>
  <c r="AA17" i="2"/>
  <c r="W17" i="2"/>
  <c r="S17" i="2"/>
  <c r="O17" i="2"/>
  <c r="K17" i="2"/>
  <c r="H17" i="2"/>
  <c r="AA16" i="2"/>
  <c r="W16" i="2"/>
  <c r="S16" i="2"/>
  <c r="O16" i="2"/>
  <c r="K16" i="2"/>
  <c r="H16" i="2"/>
  <c r="AA15" i="2"/>
  <c r="W15" i="2"/>
  <c r="S15" i="2"/>
  <c r="O15" i="2"/>
  <c r="K15" i="2"/>
  <c r="H15" i="2"/>
  <c r="AA14" i="2"/>
  <c r="W14" i="2"/>
  <c r="S14" i="2"/>
  <c r="O14" i="2"/>
  <c r="K14" i="2"/>
  <c r="H14" i="2"/>
  <c r="AA13" i="2"/>
  <c r="W13" i="2"/>
  <c r="S13" i="2"/>
  <c r="O13" i="2"/>
  <c r="K13" i="2"/>
  <c r="H13" i="2"/>
  <c r="AA12" i="2"/>
  <c r="W12" i="2"/>
  <c r="S12" i="2"/>
  <c r="O12" i="2"/>
  <c r="K12" i="2"/>
  <c r="H12" i="2"/>
  <c r="AA11" i="2"/>
  <c r="W11" i="2"/>
  <c r="S11" i="2"/>
  <c r="O11" i="2"/>
  <c r="K11" i="2"/>
  <c r="H11" i="2"/>
  <c r="AA10" i="2"/>
  <c r="W10" i="2"/>
  <c r="S10" i="2"/>
  <c r="O10" i="2"/>
  <c r="K10" i="2"/>
  <c r="H10" i="2"/>
  <c r="AA9" i="2"/>
  <c r="W9" i="2"/>
  <c r="S9" i="2"/>
  <c r="O9" i="2"/>
  <c r="K9" i="2"/>
  <c r="H9" i="2"/>
  <c r="AA8" i="2"/>
  <c r="W8" i="2"/>
  <c r="S8" i="2"/>
  <c r="O8" i="2"/>
  <c r="K8" i="2"/>
  <c r="H8" i="2"/>
  <c r="AA7" i="2"/>
  <c r="W7" i="2"/>
  <c r="S7" i="2"/>
  <c r="O7" i="2"/>
  <c r="K7" i="2"/>
  <c r="H7" i="2"/>
  <c r="AA6" i="2"/>
  <c r="W6" i="2"/>
  <c r="S6" i="2"/>
  <c r="O6" i="2"/>
  <c r="K6" i="2"/>
  <c r="H6" i="2"/>
  <c r="AA5" i="2"/>
  <c r="W5" i="2"/>
  <c r="S5" i="2"/>
  <c r="O5" i="2"/>
  <c r="K5" i="2"/>
  <c r="H5" i="2"/>
  <c r="AA4" i="2"/>
  <c r="W4" i="2"/>
  <c r="S4" i="2"/>
  <c r="O4" i="2"/>
  <c r="K4" i="2"/>
  <c r="H4" i="2"/>
  <c r="AA3" i="2"/>
  <c r="W3" i="2"/>
  <c r="S3" i="2"/>
  <c r="O3" i="2"/>
  <c r="K3" i="2"/>
  <c r="H3" i="2"/>
  <c r="AA2" i="2"/>
  <c r="W2" i="2"/>
  <c r="S2" i="2"/>
  <c r="O2" i="2"/>
  <c r="K2" i="2"/>
  <c r="H2" i="2"/>
</calcChain>
</file>

<file path=xl/sharedStrings.xml><?xml version="1.0" encoding="utf-8"?>
<sst xmlns="http://schemas.openxmlformats.org/spreadsheetml/2006/main" count="69" uniqueCount="51">
  <si>
    <t>Tot. PFM Investment</t>
  </si>
  <si>
    <t>Organic sessions</t>
  </si>
  <si>
    <t>Paid Sessions</t>
  </si>
  <si>
    <t>Total Sessions</t>
  </si>
  <si>
    <t>PPC Brand €</t>
  </si>
  <si>
    <t>PPC Brand click</t>
  </si>
  <si>
    <t>PPC Brand CPC</t>
  </si>
  <si>
    <t>PPC Brand Session</t>
  </si>
  <si>
    <t>PPC Generic €</t>
  </si>
  <si>
    <t>PPC Generic click</t>
  </si>
  <si>
    <t>PPC Generic CPC</t>
  </si>
  <si>
    <t>PPC Generic Session</t>
  </si>
  <si>
    <t>Meta €</t>
  </si>
  <si>
    <t>Meta Imp.</t>
  </si>
  <si>
    <t>Meta CPM</t>
  </si>
  <si>
    <t>Meta Session</t>
  </si>
  <si>
    <t>Display €</t>
  </si>
  <si>
    <t>Display click</t>
  </si>
  <si>
    <t>Display CPC</t>
  </si>
  <si>
    <t>Display Session</t>
  </si>
  <si>
    <t>TikTok €</t>
  </si>
  <si>
    <t>TikTok imp.</t>
  </si>
  <si>
    <t>TikTok CPM</t>
  </si>
  <si>
    <t>TikTok Session</t>
  </si>
  <si>
    <t>Monday</t>
  </si>
  <si>
    <t>Sunday</t>
  </si>
  <si>
    <t>Week</t>
  </si>
  <si>
    <t>Year</t>
  </si>
  <si>
    <t>Metric</t>
  </si>
  <si>
    <t>March 2023</t>
  </si>
  <si>
    <t>March 2024</t>
  </si>
  <si>
    <t>Delta</t>
  </si>
  <si>
    <t>Notes</t>
  </si>
  <si>
    <t>2023 sessions are underestimated by roughly 10-15%, due to consent mode tracking</t>
  </si>
  <si>
    <t>If we try to compute a cleaner CR comparison, delta should be around +10%</t>
  </si>
  <si>
    <t>If we try to compute a cleaner CR comparison, delta should be around +40%</t>
  </si>
  <si>
    <t>Mar-23 not sure if datas are reliable (old lookerstudio dashboard)</t>
  </si>
  <si>
    <t>Scope</t>
  </si>
  <si>
    <t>Paid Sessions LPs</t>
  </si>
  <si>
    <t>HP Sessions</t>
  </si>
  <si>
    <t>CTR Homepage</t>
  </si>
  <si>
    <t>Travel Page Sessions</t>
  </si>
  <si>
    <t>CTR 2° Travel Page To Cart</t>
  </si>
  <si>
    <t>Add To Cart Number</t>
  </si>
  <si>
    <t>CTR 3° Cart To Checkout</t>
  </si>
  <si>
    <t>Pax Number</t>
  </si>
  <si>
    <t>Overall CR%</t>
  </si>
  <si>
    <t>CR% Pax/Travel Page Sessions</t>
  </si>
  <si>
    <t>CTR from LP to WR website (either HP or Travel pages)</t>
  </si>
  <si>
    <t>Click Throughs Number</t>
  </si>
  <si>
    <t>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</si>
</sst>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??\ &quot;€&quot;_-;_-@"/>
    <numFmt numFmtId="165" formatCode="_-* #,##0.00\ &quot;€&quot;_-;\-* #,##0.00\ &quot;€&quot;_-;_-* &quot;-&quot;??\ &quot;€&quot;_-;_-@"/>
    <numFmt numFmtId="166" formatCode="d/m/yyyy"/>
    <numFmt numFmtId="167" formatCode="_-* #,##0.00\ &quot;€&quot;_-;\-* #,##0.00\ &quot;€&quot;_-;_-* &quot;-&quot;??.00\ &quot;€&quot;_-;_-@"/>
    <numFmt numFmtId="168" formatCode="###0"/>
  </numFmts>
  <fonts count="6" x14ac:knownFonts="1">
    <font>
      <sz val="11"/>
      <color theme="1"/>
      <name val="Calibri"/>
      <scheme val="minor"/>
    </font>
    <font>
      <sz val="9"/>
      <color theme="1"/>
      <name val="Calibri"/>
    </font>
    <font>
      <b/>
      <sz val="9"/>
      <color theme="1"/>
      <name val="Arial"/>
    </font>
    <font>
      <sz val="11"/>
      <color theme="1"/>
      <name val="Calibri"/>
    </font>
    <font>
      <b/>
      <sz val="11"/>
      <color rgb="FFFF0000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1">
    <xf numFmtId="0" fontId="0" fillId="0" borderId="0" xfId="0"/>
    <xf numFmtId="166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8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9" fontId="0" fillId="0" borderId="0" xfId="1" applyFont="1"/>
    <xf numFmtId="10" fontId="0" fillId="0" borderId="0" xfId="1" applyNumberFormat="1" applyFont="1"/>
    <xf numFmtId="9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6AAE-DFD9-444C-8C3A-272A07F7BEF4}">
  <dimension ref="A1:F19"/>
  <sheetViews>
    <sheetView tabSelected="1" workbookViewId="0">
      <selection activeCell="E12" sqref="E12"/>
    </sheetView>
  </sheetViews>
  <sheetFormatPr defaultRowHeight="14.4" x14ac:dyDescent="0.3"/>
  <cols>
    <col min="1" max="1" width="14.88671875" bestFit="1" customWidth="1"/>
    <col min="2" max="2" width="46.109375" bestFit="1" customWidth="1"/>
    <col min="3" max="4" width="10.88671875" bestFit="1" customWidth="1"/>
    <col min="5" max="5" width="5.44140625" bestFit="1" customWidth="1"/>
    <col min="6" max="6" width="70.33203125" bestFit="1" customWidth="1"/>
  </cols>
  <sheetData>
    <row r="1" spans="1:6" s="17" customFormat="1" x14ac:dyDescent="0.3">
      <c r="A1" s="17" t="s">
        <v>37</v>
      </c>
      <c r="B1" s="17" t="s">
        <v>28</v>
      </c>
      <c r="C1" s="17" t="s">
        <v>29</v>
      </c>
      <c r="D1" s="17" t="s">
        <v>30</v>
      </c>
      <c r="E1" s="17" t="s">
        <v>31</v>
      </c>
      <c r="F1" s="17" t="s">
        <v>32</v>
      </c>
    </row>
    <row r="2" spans="1:6" x14ac:dyDescent="0.3">
      <c r="A2" t="s">
        <v>3</v>
      </c>
      <c r="B2" t="s">
        <v>3</v>
      </c>
      <c r="C2">
        <v>848714</v>
      </c>
      <c r="D2">
        <v>1763390</v>
      </c>
      <c r="E2" s="18">
        <f>(D2-C2)/C2</f>
        <v>1.0777199386365726</v>
      </c>
      <c r="F2" t="s">
        <v>33</v>
      </c>
    </row>
    <row r="3" spans="1:6" x14ac:dyDescent="0.3">
      <c r="A3" t="s">
        <v>3</v>
      </c>
      <c r="B3" t="s">
        <v>40</v>
      </c>
      <c r="C3">
        <v>0.80100000000000005</v>
      </c>
      <c r="D3">
        <v>0.61360000000000003</v>
      </c>
      <c r="E3" s="18">
        <f t="shared" ref="E3:E16" si="0">(D3-C3)/C3</f>
        <v>-0.23395755305867666</v>
      </c>
      <c r="F3" s="18"/>
    </row>
    <row r="4" spans="1:6" x14ac:dyDescent="0.3">
      <c r="A4" t="s">
        <v>3</v>
      </c>
      <c r="B4" t="s">
        <v>41</v>
      </c>
      <c r="C4">
        <v>679817</v>
      </c>
      <c r="D4">
        <v>1082069</v>
      </c>
      <c r="E4" s="18">
        <f t="shared" si="0"/>
        <v>0.59170629743004366</v>
      </c>
      <c r="F4" s="18"/>
    </row>
    <row r="5" spans="1:6" x14ac:dyDescent="0.3">
      <c r="A5" t="s">
        <v>3</v>
      </c>
      <c r="B5" t="s">
        <v>42</v>
      </c>
      <c r="C5">
        <v>4.1599999999999998E-2</v>
      </c>
      <c r="D5">
        <v>5.4199999999999998E-2</v>
      </c>
      <c r="E5" s="18">
        <f t="shared" si="0"/>
        <v>0.30288461538461542</v>
      </c>
      <c r="F5" s="18"/>
    </row>
    <row r="6" spans="1:6" x14ac:dyDescent="0.3">
      <c r="A6" t="s">
        <v>3</v>
      </c>
      <c r="B6" t="s">
        <v>43</v>
      </c>
      <c r="C6">
        <v>28276</v>
      </c>
      <c r="D6">
        <v>58674</v>
      </c>
      <c r="E6" s="18">
        <f t="shared" si="0"/>
        <v>1.075045975385486</v>
      </c>
      <c r="F6" s="18"/>
    </row>
    <row r="7" spans="1:6" x14ac:dyDescent="0.3">
      <c r="A7" t="s">
        <v>3</v>
      </c>
      <c r="B7" t="s">
        <v>44</v>
      </c>
      <c r="C7">
        <v>0.1094</v>
      </c>
      <c r="D7">
        <v>0.1067</v>
      </c>
      <c r="E7" s="18">
        <f t="shared" si="0"/>
        <v>-2.4680073126142541E-2</v>
      </c>
      <c r="F7" s="19"/>
    </row>
    <row r="8" spans="1:6" x14ac:dyDescent="0.3">
      <c r="A8" t="s">
        <v>3</v>
      </c>
      <c r="B8" t="s">
        <v>45</v>
      </c>
      <c r="C8">
        <v>3092</v>
      </c>
      <c r="D8">
        <v>6261</v>
      </c>
      <c r="E8" s="18">
        <f t="shared" si="0"/>
        <v>1.02490297542044</v>
      </c>
    </row>
    <row r="9" spans="1:6" x14ac:dyDescent="0.3">
      <c r="A9" t="s">
        <v>3</v>
      </c>
      <c r="B9" t="s">
        <v>46</v>
      </c>
      <c r="C9">
        <v>3.5999999999999999E-3</v>
      </c>
      <c r="D9">
        <v>3.5999999999999999E-3</v>
      </c>
      <c r="E9" s="18">
        <f t="shared" si="0"/>
        <v>0</v>
      </c>
      <c r="F9" t="s">
        <v>34</v>
      </c>
    </row>
    <row r="10" spans="1:6" x14ac:dyDescent="0.3">
      <c r="A10" t="s">
        <v>3</v>
      </c>
      <c r="B10" t="s">
        <v>47</v>
      </c>
      <c r="C10">
        <v>4.4999999999999997E-3</v>
      </c>
      <c r="D10">
        <v>5.7999999999999996E-3</v>
      </c>
      <c r="E10" s="18">
        <f t="shared" si="0"/>
        <v>0.28888888888888892</v>
      </c>
      <c r="F10" t="s">
        <v>35</v>
      </c>
    </row>
    <row r="11" spans="1:6" x14ac:dyDescent="0.3">
      <c r="A11" t="s">
        <v>38</v>
      </c>
      <c r="B11" t="s">
        <v>3</v>
      </c>
      <c r="C11">
        <v>246603</v>
      </c>
      <c r="D11">
        <v>341750</v>
      </c>
      <c r="E11" s="18">
        <f t="shared" si="0"/>
        <v>0.38583066710461755</v>
      </c>
    </row>
    <row r="12" spans="1:6" x14ac:dyDescent="0.3">
      <c r="A12" t="s">
        <v>38</v>
      </c>
      <c r="B12" t="s">
        <v>48</v>
      </c>
      <c r="C12">
        <v>0.89390000000000003</v>
      </c>
      <c r="D12">
        <v>0.63160000000000005</v>
      </c>
      <c r="E12" s="18">
        <f t="shared" si="0"/>
        <v>-0.29343326994070923</v>
      </c>
    </row>
    <row r="13" spans="1:6" x14ac:dyDescent="0.3">
      <c r="A13" t="s">
        <v>38</v>
      </c>
      <c r="B13" t="s">
        <v>49</v>
      </c>
      <c r="C13">
        <v>220438</v>
      </c>
      <c r="D13">
        <v>215849</v>
      </c>
      <c r="E13" s="18">
        <f t="shared" si="0"/>
        <v>-2.0817644870666584E-2</v>
      </c>
    </row>
    <row r="14" spans="1:6" x14ac:dyDescent="0.3">
      <c r="A14" t="s">
        <v>39</v>
      </c>
      <c r="B14" t="s">
        <v>3</v>
      </c>
      <c r="C14">
        <v>196273</v>
      </c>
      <c r="D14">
        <v>485562</v>
      </c>
      <c r="E14" s="18">
        <f t="shared" si="0"/>
        <v>1.4739113377795214</v>
      </c>
      <c r="F14" t="s">
        <v>33</v>
      </c>
    </row>
    <row r="15" spans="1:6" x14ac:dyDescent="0.3">
      <c r="A15" t="s">
        <v>39</v>
      </c>
      <c r="B15" t="s">
        <v>50</v>
      </c>
      <c r="C15">
        <v>0.28789999999999999</v>
      </c>
      <c r="D15">
        <v>0.15770000000000001</v>
      </c>
      <c r="E15" s="18">
        <f t="shared" si="0"/>
        <v>-0.45224036123654043</v>
      </c>
      <c r="F15" t="s">
        <v>36</v>
      </c>
    </row>
    <row r="16" spans="1:6" x14ac:dyDescent="0.3">
      <c r="A16" t="s">
        <v>39</v>
      </c>
      <c r="B16" t="s">
        <v>49</v>
      </c>
      <c r="C16">
        <v>56507</v>
      </c>
      <c r="D16">
        <v>76573</v>
      </c>
      <c r="E16" s="18">
        <f t="shared" si="0"/>
        <v>0.35510644698886862</v>
      </c>
    </row>
    <row r="18" spans="3:5" x14ac:dyDescent="0.3">
      <c r="C18" s="18"/>
      <c r="D18" s="18"/>
      <c r="E18" s="20"/>
    </row>
    <row r="19" spans="3:5" x14ac:dyDescent="0.3">
      <c r="C19" s="18"/>
      <c r="D19" s="18"/>
      <c r="E19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4140625" defaultRowHeight="15" customHeight="1" x14ac:dyDescent="0.3"/>
  <cols>
    <col min="1" max="4" width="16.109375" customWidth="1"/>
    <col min="5" max="28" width="20.6640625" customWidth="1"/>
  </cols>
  <sheetData>
    <row r="1" spans="1:28" ht="12" customHeight="1" x14ac:dyDescent="0.3">
      <c r="A1" s="9" t="s">
        <v>24</v>
      </c>
      <c r="B1" s="9" t="s">
        <v>25</v>
      </c>
      <c r="C1" s="9" t="s">
        <v>26</v>
      </c>
      <c r="D1" s="9" t="s">
        <v>27</v>
      </c>
      <c r="E1" s="10" t="s">
        <v>0</v>
      </c>
      <c r="F1" s="9" t="s">
        <v>1</v>
      </c>
      <c r="G1" s="9" t="s">
        <v>2</v>
      </c>
      <c r="H1" s="9" t="s">
        <v>3</v>
      </c>
      <c r="I1" s="10" t="s">
        <v>4</v>
      </c>
      <c r="J1" s="9" t="s">
        <v>5</v>
      </c>
      <c r="K1" s="9" t="s">
        <v>6</v>
      </c>
      <c r="L1" s="9" t="s">
        <v>7</v>
      </c>
      <c r="M1" s="10" t="s">
        <v>8</v>
      </c>
      <c r="N1" s="9" t="s">
        <v>9</v>
      </c>
      <c r="O1" s="9" t="s">
        <v>10</v>
      </c>
      <c r="P1" s="9" t="s">
        <v>11</v>
      </c>
      <c r="Q1" s="10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10" t="s">
        <v>20</v>
      </c>
      <c r="Z1" s="11" t="s">
        <v>21</v>
      </c>
      <c r="AA1" s="12" t="s">
        <v>22</v>
      </c>
      <c r="AB1" s="12" t="s">
        <v>23</v>
      </c>
    </row>
    <row r="2" spans="1:28" ht="12" customHeight="1" x14ac:dyDescent="0.3">
      <c r="A2" s="1">
        <v>44564</v>
      </c>
      <c r="B2" s="1">
        <v>44570</v>
      </c>
      <c r="C2" s="2">
        <v>1</v>
      </c>
      <c r="D2" s="2">
        <v>2022</v>
      </c>
      <c r="E2" s="6">
        <v>12273.27</v>
      </c>
      <c r="F2" s="2">
        <v>27676</v>
      </c>
      <c r="G2" s="2">
        <v>41796</v>
      </c>
      <c r="H2" s="2">
        <f t="shared" ref="H2:H117" si="0">SUM(F2:G2)</f>
        <v>69472</v>
      </c>
      <c r="I2" s="6">
        <v>629.16</v>
      </c>
      <c r="J2" s="2">
        <v>9630</v>
      </c>
      <c r="K2" s="4">
        <f t="shared" ref="K2:K117" si="1">I2/J2</f>
        <v>6.5333333333333327E-2</v>
      </c>
      <c r="L2" s="2">
        <v>8306</v>
      </c>
      <c r="M2" s="6">
        <v>4970.03</v>
      </c>
      <c r="N2" s="2">
        <v>8283</v>
      </c>
      <c r="O2" s="4">
        <f t="shared" ref="O2:O117" si="2">M2/N2</f>
        <v>0.60002776771701072</v>
      </c>
      <c r="P2" s="2">
        <v>7736</v>
      </c>
      <c r="Q2" s="6">
        <v>6452.8799999999992</v>
      </c>
      <c r="R2" s="2">
        <v>6623541</v>
      </c>
      <c r="S2" s="4">
        <f t="shared" ref="S2:S117" si="3">Q2/R2*1000</f>
        <v>0.97423417474127494</v>
      </c>
      <c r="T2" s="2">
        <v>25754</v>
      </c>
      <c r="U2" s="6">
        <v>221.2</v>
      </c>
      <c r="V2" s="2">
        <v>643</v>
      </c>
      <c r="W2" s="7">
        <f t="shared" ref="W2:W117" si="4">IFERROR(U2/V2, "-")</f>
        <v>0.34401244167962675</v>
      </c>
      <c r="X2" s="5">
        <v>738</v>
      </c>
      <c r="Y2" s="6">
        <v>0</v>
      </c>
      <c r="Z2" s="2">
        <v>0</v>
      </c>
      <c r="AA2" s="7" t="str">
        <f t="shared" ref="AA2:AA117" si="5">IFERROR(Y2/Z2*1000, "-")</f>
        <v>-</v>
      </c>
      <c r="AB2" s="5">
        <v>0</v>
      </c>
    </row>
    <row r="3" spans="1:28" ht="12" customHeight="1" x14ac:dyDescent="0.3">
      <c r="A3" s="1">
        <v>44571</v>
      </c>
      <c r="B3" s="1">
        <v>44577</v>
      </c>
      <c r="C3" s="2">
        <v>2</v>
      </c>
      <c r="D3" s="2">
        <v>2022</v>
      </c>
      <c r="E3" s="6">
        <v>25112.84</v>
      </c>
      <c r="F3" s="2">
        <v>22431</v>
      </c>
      <c r="G3" s="2">
        <v>33923</v>
      </c>
      <c r="H3" s="2">
        <f t="shared" si="0"/>
        <v>56354</v>
      </c>
      <c r="I3" s="6">
        <v>530.98</v>
      </c>
      <c r="J3" s="2">
        <v>8499</v>
      </c>
      <c r="K3" s="4">
        <f t="shared" si="1"/>
        <v>6.2475585362983879E-2</v>
      </c>
      <c r="L3" s="2">
        <v>6426</v>
      </c>
      <c r="M3" s="6">
        <v>10382.219999999999</v>
      </c>
      <c r="N3" s="2">
        <v>13197</v>
      </c>
      <c r="O3" s="4">
        <f t="shared" si="2"/>
        <v>0.78671061604910197</v>
      </c>
      <c r="P3" s="2">
        <v>9605</v>
      </c>
      <c r="Q3" s="6">
        <v>12460.55</v>
      </c>
      <c r="R3" s="2">
        <v>9889200</v>
      </c>
      <c r="S3" s="4">
        <f t="shared" si="3"/>
        <v>1.2600159770254418</v>
      </c>
      <c r="T3" s="2">
        <v>17892</v>
      </c>
      <c r="U3" s="6">
        <v>1739.09</v>
      </c>
      <c r="V3" s="2">
        <v>26587</v>
      </c>
      <c r="W3" s="7">
        <f t="shared" si="4"/>
        <v>6.5411291232557262E-2</v>
      </c>
      <c r="X3" s="5">
        <v>2633</v>
      </c>
      <c r="Y3" s="6">
        <v>0</v>
      </c>
      <c r="Z3" s="2">
        <v>0</v>
      </c>
      <c r="AA3" s="7" t="str">
        <f t="shared" si="5"/>
        <v>-</v>
      </c>
      <c r="AB3" s="5">
        <v>0</v>
      </c>
    </row>
    <row r="4" spans="1:28" ht="12" customHeight="1" x14ac:dyDescent="0.3">
      <c r="A4" s="1">
        <v>44578</v>
      </c>
      <c r="B4" s="1">
        <v>44584</v>
      </c>
      <c r="C4" s="2">
        <v>3</v>
      </c>
      <c r="D4" s="2">
        <v>2022</v>
      </c>
      <c r="E4" s="6">
        <v>27255.439999999999</v>
      </c>
      <c r="F4" s="2">
        <v>24948</v>
      </c>
      <c r="G4" s="2">
        <v>39701</v>
      </c>
      <c r="H4" s="2">
        <f t="shared" si="0"/>
        <v>64649</v>
      </c>
      <c r="I4" s="6">
        <v>535.57000000000005</v>
      </c>
      <c r="J4" s="2">
        <v>9360</v>
      </c>
      <c r="K4" s="4">
        <f t="shared" si="1"/>
        <v>5.7219017094017097E-2</v>
      </c>
      <c r="L4" s="2">
        <v>6464</v>
      </c>
      <c r="M4" s="6">
        <v>14011.2</v>
      </c>
      <c r="N4" s="2">
        <v>16399</v>
      </c>
      <c r="O4" s="4">
        <f t="shared" si="2"/>
        <v>0.85439356058296245</v>
      </c>
      <c r="P4" s="2">
        <v>11132</v>
      </c>
      <c r="Q4" s="6">
        <v>12708.67</v>
      </c>
      <c r="R4" s="2">
        <v>9576363</v>
      </c>
      <c r="S4" s="4">
        <f t="shared" si="3"/>
        <v>1.3270873295007719</v>
      </c>
      <c r="T4" s="2">
        <v>22105</v>
      </c>
      <c r="U4" s="6">
        <v>0</v>
      </c>
      <c r="V4" s="2">
        <v>0</v>
      </c>
      <c r="W4" s="7" t="str">
        <f t="shared" si="4"/>
        <v>-</v>
      </c>
      <c r="X4" s="5">
        <v>120</v>
      </c>
      <c r="Y4" s="6">
        <v>0</v>
      </c>
      <c r="Z4" s="2">
        <v>0</v>
      </c>
      <c r="AA4" s="7" t="str">
        <f t="shared" si="5"/>
        <v>-</v>
      </c>
      <c r="AB4" s="5">
        <v>0</v>
      </c>
    </row>
    <row r="5" spans="1:28" ht="12" customHeight="1" x14ac:dyDescent="0.3">
      <c r="A5" s="1">
        <v>44585</v>
      </c>
      <c r="B5" s="1">
        <v>44591</v>
      </c>
      <c r="C5" s="2">
        <v>4</v>
      </c>
      <c r="D5" s="2">
        <v>2022</v>
      </c>
      <c r="E5" s="6">
        <v>26491.99</v>
      </c>
      <c r="F5" s="2">
        <v>28833</v>
      </c>
      <c r="G5" s="2">
        <v>48471</v>
      </c>
      <c r="H5" s="2">
        <f t="shared" si="0"/>
        <v>77304</v>
      </c>
      <c r="I5" s="6">
        <v>642.67999999999995</v>
      </c>
      <c r="J5" s="2">
        <v>10636</v>
      </c>
      <c r="K5" s="4">
        <f t="shared" si="1"/>
        <v>6.0424971793907482E-2</v>
      </c>
      <c r="L5" s="2">
        <v>8809</v>
      </c>
      <c r="M5" s="6">
        <v>13363.5</v>
      </c>
      <c r="N5" s="2">
        <v>20154</v>
      </c>
      <c r="O5" s="4">
        <f t="shared" si="2"/>
        <v>0.66306936588270315</v>
      </c>
      <c r="P5" s="2">
        <v>14333</v>
      </c>
      <c r="Q5" s="6">
        <v>11723.77</v>
      </c>
      <c r="R5" s="2">
        <v>9516057</v>
      </c>
      <c r="S5" s="4">
        <f t="shared" si="3"/>
        <v>1.2319987154343444</v>
      </c>
      <c r="T5" s="2">
        <v>25329</v>
      </c>
      <c r="U5" s="6">
        <v>762.04</v>
      </c>
      <c r="V5" s="2">
        <v>7821</v>
      </c>
      <c r="W5" s="7">
        <f t="shared" si="4"/>
        <v>9.7435110599667557E-2</v>
      </c>
      <c r="X5" s="5">
        <v>735</v>
      </c>
      <c r="Y5" s="6">
        <v>0</v>
      </c>
      <c r="Z5" s="2">
        <v>0</v>
      </c>
      <c r="AA5" s="7" t="str">
        <f t="shared" si="5"/>
        <v>-</v>
      </c>
      <c r="AB5" s="5">
        <v>0</v>
      </c>
    </row>
    <row r="6" spans="1:28" ht="12" customHeight="1" x14ac:dyDescent="0.3">
      <c r="A6" s="1">
        <v>44592</v>
      </c>
      <c r="B6" s="1">
        <v>44598</v>
      </c>
      <c r="C6" s="2">
        <v>5</v>
      </c>
      <c r="D6" s="2">
        <v>2022</v>
      </c>
      <c r="E6" s="6">
        <v>32119.31</v>
      </c>
      <c r="F6" s="2">
        <v>36341</v>
      </c>
      <c r="G6" s="2">
        <v>55637</v>
      </c>
      <c r="H6" s="2">
        <f t="shared" si="0"/>
        <v>91978</v>
      </c>
      <c r="I6" s="6">
        <v>871.73</v>
      </c>
      <c r="J6" s="2">
        <v>13873</v>
      </c>
      <c r="K6" s="4">
        <f t="shared" si="1"/>
        <v>6.2836444892957546E-2</v>
      </c>
      <c r="L6" s="2">
        <v>11085</v>
      </c>
      <c r="M6" s="6">
        <v>15452.82</v>
      </c>
      <c r="N6" s="2">
        <v>20135</v>
      </c>
      <c r="O6" s="4">
        <f t="shared" si="2"/>
        <v>0.76746064067544073</v>
      </c>
      <c r="P6" s="2">
        <v>15993</v>
      </c>
      <c r="Q6" s="6">
        <v>15057.02</v>
      </c>
      <c r="R6" s="2">
        <v>12309091</v>
      </c>
      <c r="S6" s="4">
        <f t="shared" si="3"/>
        <v>1.2232438609804737</v>
      </c>
      <c r="T6" s="2">
        <v>28559</v>
      </c>
      <c r="U6" s="6">
        <v>737.74</v>
      </c>
      <c r="V6" s="2">
        <v>8938</v>
      </c>
      <c r="W6" s="7">
        <f t="shared" si="4"/>
        <v>8.253971805773104E-2</v>
      </c>
      <c r="X6" s="5">
        <v>1056</v>
      </c>
      <c r="Y6" s="6">
        <v>0</v>
      </c>
      <c r="Z6" s="2">
        <v>0</v>
      </c>
      <c r="AA6" s="7" t="str">
        <f t="shared" si="5"/>
        <v>-</v>
      </c>
      <c r="AB6" s="5">
        <v>0</v>
      </c>
    </row>
    <row r="7" spans="1:28" ht="12" customHeight="1" x14ac:dyDescent="0.3">
      <c r="A7" s="1">
        <v>44599</v>
      </c>
      <c r="B7" s="1">
        <v>44605</v>
      </c>
      <c r="C7" s="2">
        <v>6</v>
      </c>
      <c r="D7" s="2">
        <v>2022</v>
      </c>
      <c r="E7" s="6">
        <v>29020.83</v>
      </c>
      <c r="F7" s="2">
        <v>39340</v>
      </c>
      <c r="G7" s="2">
        <v>47588</v>
      </c>
      <c r="H7" s="2">
        <f t="shared" si="0"/>
        <v>86928</v>
      </c>
      <c r="I7" s="6">
        <v>1063.79</v>
      </c>
      <c r="J7" s="2">
        <v>15709</v>
      </c>
      <c r="K7" s="4">
        <f t="shared" si="1"/>
        <v>6.7718505315424282E-2</v>
      </c>
      <c r="L7" s="2">
        <v>12447</v>
      </c>
      <c r="M7" s="6">
        <v>16767.509999999998</v>
      </c>
      <c r="N7" s="2">
        <v>22485</v>
      </c>
      <c r="O7" s="4">
        <f t="shared" si="2"/>
        <v>0.74571981320880576</v>
      </c>
      <c r="P7" s="2">
        <v>17009</v>
      </c>
      <c r="Q7" s="6">
        <v>10457.299999999999</v>
      </c>
      <c r="R7" s="2">
        <v>8021515</v>
      </c>
      <c r="S7" s="4">
        <f t="shared" si="3"/>
        <v>1.3036564788571734</v>
      </c>
      <c r="T7" s="2">
        <v>18132</v>
      </c>
      <c r="U7" s="6">
        <v>732.23</v>
      </c>
      <c r="V7" s="2">
        <v>11590</v>
      </c>
      <c r="W7" s="7">
        <f t="shared" si="4"/>
        <v>6.317773943054357E-2</v>
      </c>
      <c r="X7" s="5">
        <v>1193</v>
      </c>
      <c r="Y7" s="6">
        <v>0</v>
      </c>
      <c r="Z7" s="2">
        <v>0</v>
      </c>
      <c r="AA7" s="7" t="str">
        <f t="shared" si="5"/>
        <v>-</v>
      </c>
      <c r="AB7" s="5">
        <v>0</v>
      </c>
    </row>
    <row r="8" spans="1:28" ht="12" customHeight="1" x14ac:dyDescent="0.3">
      <c r="A8" s="1">
        <v>44606</v>
      </c>
      <c r="B8" s="1">
        <v>44612</v>
      </c>
      <c r="C8" s="2">
        <v>7</v>
      </c>
      <c r="D8" s="2">
        <v>2022</v>
      </c>
      <c r="E8" s="6">
        <v>28996.22</v>
      </c>
      <c r="F8" s="2">
        <v>39371</v>
      </c>
      <c r="G8" s="2">
        <v>54182</v>
      </c>
      <c r="H8" s="2">
        <f t="shared" si="0"/>
        <v>93553</v>
      </c>
      <c r="I8" s="6">
        <v>1038.92</v>
      </c>
      <c r="J8" s="2">
        <v>15175</v>
      </c>
      <c r="K8" s="4">
        <f t="shared" si="1"/>
        <v>6.8462602965403629E-2</v>
      </c>
      <c r="L8" s="2">
        <v>12082</v>
      </c>
      <c r="M8" s="6">
        <v>16712.16</v>
      </c>
      <c r="N8" s="2">
        <v>24638</v>
      </c>
      <c r="O8" s="4">
        <f t="shared" si="2"/>
        <v>0.6783083042454745</v>
      </c>
      <c r="P8" s="2">
        <v>19524</v>
      </c>
      <c r="Q8" s="6">
        <v>10581.61</v>
      </c>
      <c r="R8" s="2">
        <v>8107215</v>
      </c>
      <c r="S8" s="4">
        <f t="shared" si="3"/>
        <v>1.3052090021049152</v>
      </c>
      <c r="T8" s="2">
        <v>22576</v>
      </c>
      <c r="U8" s="6">
        <v>663.53</v>
      </c>
      <c r="V8" s="2">
        <v>10779</v>
      </c>
      <c r="W8" s="7">
        <f t="shared" si="4"/>
        <v>6.1557658409871041E-2</v>
      </c>
      <c r="X8" s="5">
        <v>1122</v>
      </c>
      <c r="Y8" s="6">
        <v>0</v>
      </c>
      <c r="Z8" s="2">
        <v>0</v>
      </c>
      <c r="AA8" s="7" t="str">
        <f t="shared" si="5"/>
        <v>-</v>
      </c>
      <c r="AB8" s="5">
        <v>0</v>
      </c>
    </row>
    <row r="9" spans="1:28" ht="12" customHeight="1" x14ac:dyDescent="0.3">
      <c r="A9" s="1">
        <v>44613</v>
      </c>
      <c r="B9" s="1">
        <v>44619</v>
      </c>
      <c r="C9" s="2">
        <v>8</v>
      </c>
      <c r="D9" s="2">
        <v>2022</v>
      </c>
      <c r="E9" s="6">
        <v>29805.51</v>
      </c>
      <c r="F9" s="2">
        <v>34725</v>
      </c>
      <c r="G9" s="2">
        <v>56567</v>
      </c>
      <c r="H9" s="2">
        <f t="shared" si="0"/>
        <v>91292</v>
      </c>
      <c r="I9" s="6">
        <v>781.93</v>
      </c>
      <c r="J9" s="2">
        <v>13543</v>
      </c>
      <c r="K9" s="4">
        <f t="shared" si="1"/>
        <v>5.7736838219006124E-2</v>
      </c>
      <c r="L9" s="2">
        <v>11725</v>
      </c>
      <c r="M9" s="6">
        <v>13444.06</v>
      </c>
      <c r="N9" s="2">
        <v>20765</v>
      </c>
      <c r="O9" s="4">
        <f t="shared" si="2"/>
        <v>0.64743847820852396</v>
      </c>
      <c r="P9" s="2">
        <v>17020</v>
      </c>
      <c r="Q9" s="6">
        <v>14879.24</v>
      </c>
      <c r="R9" s="2">
        <v>10729020</v>
      </c>
      <c r="S9" s="4">
        <f t="shared" si="3"/>
        <v>1.3868219091771661</v>
      </c>
      <c r="T9" s="2">
        <v>27822</v>
      </c>
      <c r="U9" s="6">
        <v>700.28</v>
      </c>
      <c r="V9" s="2">
        <v>11288</v>
      </c>
      <c r="W9" s="7">
        <f t="shared" si="4"/>
        <v>6.2037562012756904E-2</v>
      </c>
      <c r="X9" s="5">
        <v>1144</v>
      </c>
      <c r="Y9" s="6">
        <v>0</v>
      </c>
      <c r="Z9" s="2">
        <v>0</v>
      </c>
      <c r="AA9" s="7" t="str">
        <f t="shared" si="5"/>
        <v>-</v>
      </c>
      <c r="AB9" s="5">
        <v>0</v>
      </c>
    </row>
    <row r="10" spans="1:28" ht="12" customHeight="1" x14ac:dyDescent="0.3">
      <c r="A10" s="1">
        <v>44620</v>
      </c>
      <c r="B10" s="1">
        <v>44626</v>
      </c>
      <c r="C10" s="2">
        <v>9</v>
      </c>
      <c r="D10" s="2">
        <v>2022</v>
      </c>
      <c r="E10" s="6">
        <v>36273.160000000003</v>
      </c>
      <c r="F10" s="2">
        <v>32179</v>
      </c>
      <c r="G10" s="2">
        <v>59630</v>
      </c>
      <c r="H10" s="2">
        <f t="shared" si="0"/>
        <v>91809</v>
      </c>
      <c r="I10" s="6">
        <v>840.78</v>
      </c>
      <c r="J10" s="2">
        <v>13599</v>
      </c>
      <c r="K10" s="4">
        <f t="shared" si="1"/>
        <v>6.1826604897418924E-2</v>
      </c>
      <c r="L10" s="2">
        <v>11607</v>
      </c>
      <c r="M10" s="6">
        <v>17223.14</v>
      </c>
      <c r="N10" s="2">
        <v>23021</v>
      </c>
      <c r="O10" s="4">
        <f t="shared" si="2"/>
        <v>0.74814908127361968</v>
      </c>
      <c r="P10" s="2">
        <v>18614</v>
      </c>
      <c r="Q10" s="6">
        <v>17867.3</v>
      </c>
      <c r="R10" s="2">
        <v>11764769</v>
      </c>
      <c r="S10" s="4">
        <f t="shared" si="3"/>
        <v>1.5187123521082309</v>
      </c>
      <c r="T10" s="2">
        <v>29409</v>
      </c>
      <c r="U10" s="6">
        <v>341.94</v>
      </c>
      <c r="V10" s="2">
        <v>5657</v>
      </c>
      <c r="W10" s="7">
        <f t="shared" si="4"/>
        <v>6.0445465794590772E-2</v>
      </c>
      <c r="X10" s="5">
        <v>563</v>
      </c>
      <c r="Y10" s="6">
        <v>0</v>
      </c>
      <c r="Z10" s="2">
        <v>0</v>
      </c>
      <c r="AA10" s="7" t="str">
        <f t="shared" si="5"/>
        <v>-</v>
      </c>
      <c r="AB10" s="5">
        <v>0</v>
      </c>
    </row>
    <row r="11" spans="1:28" ht="12" customHeight="1" x14ac:dyDescent="0.3">
      <c r="A11" s="1">
        <v>44627</v>
      </c>
      <c r="B11" s="1">
        <v>44633</v>
      </c>
      <c r="C11" s="2">
        <v>10</v>
      </c>
      <c r="D11" s="2">
        <v>2022</v>
      </c>
      <c r="E11" s="6">
        <v>41809.539999999994</v>
      </c>
      <c r="F11" s="2">
        <v>36247</v>
      </c>
      <c r="G11" s="2">
        <v>59727</v>
      </c>
      <c r="H11" s="2">
        <f t="shared" si="0"/>
        <v>95974</v>
      </c>
      <c r="I11" s="6">
        <v>876.69</v>
      </c>
      <c r="J11" s="2">
        <v>14568</v>
      </c>
      <c r="K11" s="4">
        <f t="shared" si="1"/>
        <v>6.0179159802306426E-2</v>
      </c>
      <c r="L11" s="2">
        <v>12454</v>
      </c>
      <c r="M11" s="6">
        <v>20697.759999999998</v>
      </c>
      <c r="N11" s="2">
        <v>24825</v>
      </c>
      <c r="O11" s="4">
        <f t="shared" si="2"/>
        <v>0.83374662638469277</v>
      </c>
      <c r="P11" s="2">
        <v>20378</v>
      </c>
      <c r="Q11" s="6">
        <v>20235.09</v>
      </c>
      <c r="R11" s="2">
        <v>12361751</v>
      </c>
      <c r="S11" s="4">
        <f t="shared" si="3"/>
        <v>1.6369113081148454</v>
      </c>
      <c r="T11" s="2">
        <v>26895</v>
      </c>
      <c r="U11" s="6">
        <v>0</v>
      </c>
      <c r="V11" s="2">
        <v>0</v>
      </c>
      <c r="W11" s="7" t="str">
        <f t="shared" si="4"/>
        <v>-</v>
      </c>
      <c r="X11" s="5">
        <v>23</v>
      </c>
      <c r="Y11" s="6">
        <v>0</v>
      </c>
      <c r="Z11" s="2">
        <v>0</v>
      </c>
      <c r="AA11" s="7" t="str">
        <f t="shared" si="5"/>
        <v>-</v>
      </c>
      <c r="AB11" s="5">
        <v>0</v>
      </c>
    </row>
    <row r="12" spans="1:28" ht="12" customHeight="1" x14ac:dyDescent="0.3">
      <c r="A12" s="1">
        <v>44634</v>
      </c>
      <c r="B12" s="1">
        <v>44640</v>
      </c>
      <c r="C12" s="2">
        <v>11</v>
      </c>
      <c r="D12" s="2">
        <v>2022</v>
      </c>
      <c r="E12" s="6">
        <v>41287.71</v>
      </c>
      <c r="F12" s="2">
        <v>47306</v>
      </c>
      <c r="G12" s="2">
        <v>35239</v>
      </c>
      <c r="H12" s="2">
        <f t="shared" si="0"/>
        <v>82545</v>
      </c>
      <c r="I12" s="6">
        <v>1100.1199999999999</v>
      </c>
      <c r="J12" s="2">
        <v>20528</v>
      </c>
      <c r="K12" s="4">
        <f t="shared" si="1"/>
        <v>5.3591192517537016E-2</v>
      </c>
      <c r="L12" s="2">
        <v>10891</v>
      </c>
      <c r="M12" s="6">
        <v>20825.27</v>
      </c>
      <c r="N12" s="2">
        <v>25260</v>
      </c>
      <c r="O12" s="4">
        <f t="shared" si="2"/>
        <v>0.82443665874901029</v>
      </c>
      <c r="P12" s="2">
        <v>12559</v>
      </c>
      <c r="Q12" s="6">
        <v>19362.32</v>
      </c>
      <c r="R12" s="2">
        <v>11329717</v>
      </c>
      <c r="S12" s="4">
        <f t="shared" si="3"/>
        <v>1.7089853171089797</v>
      </c>
      <c r="T12" s="2">
        <v>11789</v>
      </c>
      <c r="U12" s="6">
        <v>0</v>
      </c>
      <c r="V12" s="2">
        <v>0</v>
      </c>
      <c r="W12" s="7" t="str">
        <f t="shared" si="4"/>
        <v>-</v>
      </c>
      <c r="X12" s="5">
        <v>22</v>
      </c>
      <c r="Y12" s="6">
        <v>0</v>
      </c>
      <c r="Z12" s="2">
        <v>0</v>
      </c>
      <c r="AA12" s="7" t="str">
        <f t="shared" si="5"/>
        <v>-</v>
      </c>
      <c r="AB12" s="5">
        <v>0</v>
      </c>
    </row>
    <row r="13" spans="1:28" ht="12" customHeight="1" x14ac:dyDescent="0.3">
      <c r="A13" s="1">
        <v>44641</v>
      </c>
      <c r="B13" s="1">
        <v>44647</v>
      </c>
      <c r="C13" s="2">
        <v>12</v>
      </c>
      <c r="D13" s="2">
        <v>2022</v>
      </c>
      <c r="E13" s="6">
        <v>41584.679999999993</v>
      </c>
      <c r="F13" s="2">
        <v>48380</v>
      </c>
      <c r="G13" s="2">
        <v>57908</v>
      </c>
      <c r="H13" s="2">
        <f t="shared" si="0"/>
        <v>106288</v>
      </c>
      <c r="I13" s="6">
        <v>1077.83</v>
      </c>
      <c r="J13" s="2">
        <v>20617</v>
      </c>
      <c r="K13" s="4">
        <f t="shared" si="1"/>
        <v>5.2278702042004167E-2</v>
      </c>
      <c r="L13" s="2">
        <v>17236</v>
      </c>
      <c r="M13" s="6">
        <v>20834.87</v>
      </c>
      <c r="N13" s="2">
        <v>27100</v>
      </c>
      <c r="O13" s="4">
        <f t="shared" si="2"/>
        <v>0.76881439114391137</v>
      </c>
      <c r="P13" s="2">
        <v>21317</v>
      </c>
      <c r="Q13" s="6">
        <v>19671.98</v>
      </c>
      <c r="R13" s="2">
        <v>10500335</v>
      </c>
      <c r="S13" s="4">
        <f t="shared" si="3"/>
        <v>1.8734621323986329</v>
      </c>
      <c r="T13" s="2">
        <v>19355</v>
      </c>
      <c r="U13" s="6">
        <v>0</v>
      </c>
      <c r="V13" s="2">
        <v>0</v>
      </c>
      <c r="W13" s="7" t="str">
        <f t="shared" si="4"/>
        <v>-</v>
      </c>
      <c r="X13" s="5">
        <v>31</v>
      </c>
      <c r="Y13" s="6">
        <v>0</v>
      </c>
      <c r="Z13" s="2">
        <v>0</v>
      </c>
      <c r="AA13" s="7" t="str">
        <f t="shared" si="5"/>
        <v>-</v>
      </c>
      <c r="AB13" s="5">
        <v>0</v>
      </c>
    </row>
    <row r="14" spans="1:28" ht="12" customHeight="1" x14ac:dyDescent="0.3">
      <c r="A14" s="1">
        <v>44648</v>
      </c>
      <c r="B14" s="1">
        <v>44654</v>
      </c>
      <c r="C14" s="2">
        <v>13</v>
      </c>
      <c r="D14" s="2">
        <v>2022</v>
      </c>
      <c r="E14" s="6">
        <v>52025.120000000003</v>
      </c>
      <c r="F14" s="2">
        <v>57575</v>
      </c>
      <c r="G14" s="2">
        <v>70617</v>
      </c>
      <c r="H14" s="2">
        <f t="shared" si="0"/>
        <v>128192</v>
      </c>
      <c r="I14" s="6">
        <v>1538.4</v>
      </c>
      <c r="J14" s="2">
        <v>23996</v>
      </c>
      <c r="K14" s="4">
        <f t="shared" si="1"/>
        <v>6.4110685114185703E-2</v>
      </c>
      <c r="L14" s="2">
        <v>19489</v>
      </c>
      <c r="M14" s="6">
        <v>27640.45</v>
      </c>
      <c r="N14" s="2">
        <v>36290</v>
      </c>
      <c r="O14" s="4">
        <f t="shared" si="2"/>
        <v>0.76165472581978511</v>
      </c>
      <c r="P14" s="2">
        <v>28556</v>
      </c>
      <c r="Q14" s="6">
        <v>22846.27</v>
      </c>
      <c r="R14" s="2">
        <v>12623567</v>
      </c>
      <c r="S14" s="4">
        <f t="shared" si="3"/>
        <v>1.8098109670586768</v>
      </c>
      <c r="T14" s="2">
        <v>22572</v>
      </c>
      <c r="U14" s="6">
        <v>0</v>
      </c>
      <c r="V14" s="2">
        <v>0</v>
      </c>
      <c r="W14" s="7" t="str">
        <f t="shared" si="4"/>
        <v>-</v>
      </c>
      <c r="X14" s="5">
        <v>17</v>
      </c>
      <c r="Y14" s="6">
        <v>0</v>
      </c>
      <c r="Z14" s="2">
        <v>0</v>
      </c>
      <c r="AA14" s="7" t="str">
        <f t="shared" si="5"/>
        <v>-</v>
      </c>
      <c r="AB14" s="5">
        <v>0</v>
      </c>
    </row>
    <row r="15" spans="1:28" ht="12" customHeight="1" x14ac:dyDescent="0.3">
      <c r="A15" s="1">
        <v>44655</v>
      </c>
      <c r="B15" s="1">
        <v>44661</v>
      </c>
      <c r="C15" s="2">
        <v>14</v>
      </c>
      <c r="D15" s="2">
        <v>2022</v>
      </c>
      <c r="E15" s="6">
        <v>53560.570000000007</v>
      </c>
      <c r="F15" s="2">
        <v>63294</v>
      </c>
      <c r="G15" s="2">
        <v>74920</v>
      </c>
      <c r="H15" s="2">
        <f t="shared" si="0"/>
        <v>138214</v>
      </c>
      <c r="I15" s="6">
        <v>1758.68</v>
      </c>
      <c r="J15" s="2">
        <v>26795</v>
      </c>
      <c r="K15" s="4">
        <f t="shared" si="1"/>
        <v>6.5634633327113265E-2</v>
      </c>
      <c r="L15" s="2">
        <v>22760</v>
      </c>
      <c r="M15" s="6">
        <v>27113.38</v>
      </c>
      <c r="N15" s="2">
        <v>35340</v>
      </c>
      <c r="O15" s="4">
        <f t="shared" si="2"/>
        <v>0.7672150537634409</v>
      </c>
      <c r="P15" s="2">
        <v>27214</v>
      </c>
      <c r="Q15" s="6">
        <v>24688.51</v>
      </c>
      <c r="R15" s="2">
        <v>14961722</v>
      </c>
      <c r="S15" s="4">
        <f t="shared" si="3"/>
        <v>1.6501115312796213</v>
      </c>
      <c r="T15" s="2">
        <v>24946</v>
      </c>
      <c r="U15" s="6">
        <v>0</v>
      </c>
      <c r="V15" s="2">
        <v>0</v>
      </c>
      <c r="W15" s="7" t="str">
        <f t="shared" si="4"/>
        <v>-</v>
      </c>
      <c r="X15" s="5">
        <v>20</v>
      </c>
      <c r="Y15" s="6">
        <v>0</v>
      </c>
      <c r="Z15" s="2">
        <v>0</v>
      </c>
      <c r="AA15" s="7" t="str">
        <f t="shared" si="5"/>
        <v>-</v>
      </c>
      <c r="AB15" s="5">
        <v>0</v>
      </c>
    </row>
    <row r="16" spans="1:28" ht="12" customHeight="1" x14ac:dyDescent="0.3">
      <c r="A16" s="1">
        <v>44662</v>
      </c>
      <c r="B16" s="1">
        <v>44668</v>
      </c>
      <c r="C16" s="2">
        <v>15</v>
      </c>
      <c r="D16" s="2">
        <v>2022</v>
      </c>
      <c r="E16" s="6">
        <v>47795.12</v>
      </c>
      <c r="F16" s="2">
        <v>57835</v>
      </c>
      <c r="G16" s="2">
        <v>73292</v>
      </c>
      <c r="H16" s="2">
        <f t="shared" si="0"/>
        <v>131127</v>
      </c>
      <c r="I16" s="6">
        <v>1809.08</v>
      </c>
      <c r="J16" s="2">
        <v>27113</v>
      </c>
      <c r="K16" s="4">
        <f t="shared" si="1"/>
        <v>6.6723711872533467E-2</v>
      </c>
      <c r="L16" s="2">
        <v>22777</v>
      </c>
      <c r="M16" s="6">
        <v>26495.95</v>
      </c>
      <c r="N16" s="2">
        <v>32554</v>
      </c>
      <c r="O16" s="4">
        <f t="shared" si="2"/>
        <v>0.81390766111691348</v>
      </c>
      <c r="P16" s="2">
        <v>26028</v>
      </c>
      <c r="Q16" s="6">
        <v>19490.09</v>
      </c>
      <c r="R16" s="2">
        <v>12424634</v>
      </c>
      <c r="S16" s="4">
        <f t="shared" si="3"/>
        <v>1.5686651212422031</v>
      </c>
      <c r="T16" s="2">
        <v>24487</v>
      </c>
      <c r="U16" s="6">
        <v>0</v>
      </c>
      <c r="V16" s="2">
        <v>0</v>
      </c>
      <c r="W16" s="7" t="str">
        <f t="shared" si="4"/>
        <v>-</v>
      </c>
      <c r="X16" s="5">
        <v>3</v>
      </c>
      <c r="Y16" s="6">
        <v>0</v>
      </c>
      <c r="Z16" s="2">
        <v>0</v>
      </c>
      <c r="AA16" s="7" t="str">
        <f t="shared" si="5"/>
        <v>-</v>
      </c>
      <c r="AB16" s="5">
        <v>0</v>
      </c>
    </row>
    <row r="17" spans="1:28" ht="12" customHeight="1" x14ac:dyDescent="0.3">
      <c r="A17" s="1">
        <v>44669</v>
      </c>
      <c r="B17" s="1">
        <v>44675</v>
      </c>
      <c r="C17" s="2">
        <v>16</v>
      </c>
      <c r="D17" s="2">
        <v>2022</v>
      </c>
      <c r="E17" s="6">
        <v>39137.35</v>
      </c>
      <c r="F17" s="2">
        <v>64939</v>
      </c>
      <c r="G17" s="2">
        <v>74910</v>
      </c>
      <c r="H17" s="2">
        <f t="shared" si="0"/>
        <v>139849</v>
      </c>
      <c r="I17" s="6">
        <v>1952.52</v>
      </c>
      <c r="J17" s="2">
        <v>32804</v>
      </c>
      <c r="K17" s="4">
        <f t="shared" si="1"/>
        <v>5.9520790147542982E-2</v>
      </c>
      <c r="L17" s="2">
        <v>27595</v>
      </c>
      <c r="M17" s="6">
        <v>23050.44</v>
      </c>
      <c r="N17" s="2">
        <v>33524</v>
      </c>
      <c r="O17" s="4">
        <f t="shared" si="2"/>
        <v>0.68758024102135784</v>
      </c>
      <c r="P17" s="2">
        <v>26343</v>
      </c>
      <c r="Q17" s="6">
        <v>14134.39</v>
      </c>
      <c r="R17" s="2">
        <v>9943281</v>
      </c>
      <c r="S17" s="4">
        <f t="shared" si="3"/>
        <v>1.4215016150101762</v>
      </c>
      <c r="T17" s="2">
        <v>20972</v>
      </c>
      <c r="U17" s="6">
        <v>0</v>
      </c>
      <c r="V17" s="2">
        <v>0</v>
      </c>
      <c r="W17" s="7" t="str">
        <f t="shared" si="4"/>
        <v>-</v>
      </c>
      <c r="X17" s="5">
        <v>1</v>
      </c>
      <c r="Y17" s="6">
        <v>0</v>
      </c>
      <c r="Z17" s="2">
        <v>0</v>
      </c>
      <c r="AA17" s="7" t="str">
        <f t="shared" si="5"/>
        <v>-</v>
      </c>
      <c r="AB17" s="5">
        <v>0</v>
      </c>
    </row>
    <row r="18" spans="1:28" ht="12" customHeight="1" x14ac:dyDescent="0.3">
      <c r="A18" s="1">
        <v>44676</v>
      </c>
      <c r="B18" s="1">
        <v>44682</v>
      </c>
      <c r="C18" s="2">
        <v>17</v>
      </c>
      <c r="D18" s="2">
        <v>2022</v>
      </c>
      <c r="E18" s="6">
        <v>42812.94</v>
      </c>
      <c r="F18" s="2">
        <v>69194</v>
      </c>
      <c r="G18" s="2">
        <v>76051</v>
      </c>
      <c r="H18" s="2">
        <f t="shared" si="0"/>
        <v>145245</v>
      </c>
      <c r="I18" s="6">
        <v>2017.57</v>
      </c>
      <c r="J18" s="2">
        <v>31082</v>
      </c>
      <c r="K18" s="4">
        <f t="shared" si="1"/>
        <v>6.4911202625313691E-2</v>
      </c>
      <c r="L18" s="2">
        <v>26674</v>
      </c>
      <c r="M18" s="6">
        <v>23914.06</v>
      </c>
      <c r="N18" s="2">
        <v>33927</v>
      </c>
      <c r="O18" s="4">
        <f t="shared" si="2"/>
        <v>0.70486809915406612</v>
      </c>
      <c r="P18" s="2">
        <v>27404</v>
      </c>
      <c r="Q18" s="6">
        <v>16881.310000000001</v>
      </c>
      <c r="R18" s="2">
        <v>10693203</v>
      </c>
      <c r="S18" s="4">
        <f t="shared" si="3"/>
        <v>1.57869536377454</v>
      </c>
      <c r="T18" s="2">
        <v>21973</v>
      </c>
      <c r="U18" s="6">
        <v>0</v>
      </c>
      <c r="V18" s="2">
        <v>0</v>
      </c>
      <c r="W18" s="7" t="str">
        <f t="shared" si="4"/>
        <v>-</v>
      </c>
      <c r="X18" s="5">
        <v>2</v>
      </c>
      <c r="Y18" s="6">
        <v>0</v>
      </c>
      <c r="Z18" s="2">
        <v>0</v>
      </c>
      <c r="AA18" s="7" t="str">
        <f t="shared" si="5"/>
        <v>-</v>
      </c>
      <c r="AB18" s="5">
        <v>0</v>
      </c>
    </row>
    <row r="19" spans="1:28" ht="12" customHeight="1" x14ac:dyDescent="0.3">
      <c r="A19" s="1">
        <v>44683</v>
      </c>
      <c r="B19" s="1">
        <v>44689</v>
      </c>
      <c r="C19" s="2">
        <v>18</v>
      </c>
      <c r="D19" s="2">
        <v>2022</v>
      </c>
      <c r="E19" s="6">
        <v>57603.399999999987</v>
      </c>
      <c r="F19" s="2">
        <v>70422</v>
      </c>
      <c r="G19" s="2">
        <v>76812</v>
      </c>
      <c r="H19" s="2">
        <f t="shared" si="0"/>
        <v>147234</v>
      </c>
      <c r="I19" s="6">
        <v>2305.5</v>
      </c>
      <c r="J19" s="2">
        <v>30564</v>
      </c>
      <c r="K19" s="4">
        <f t="shared" si="1"/>
        <v>7.5431880643894778E-2</v>
      </c>
      <c r="L19" s="2">
        <v>25694</v>
      </c>
      <c r="M19" s="6">
        <v>34849.089999999997</v>
      </c>
      <c r="N19" s="2">
        <v>37954</v>
      </c>
      <c r="O19" s="4">
        <f t="shared" si="2"/>
        <v>0.91819281235179417</v>
      </c>
      <c r="P19" s="2">
        <v>30371</v>
      </c>
      <c r="Q19" s="6">
        <v>20448.810000000001</v>
      </c>
      <c r="R19" s="2">
        <v>12120637</v>
      </c>
      <c r="S19" s="4">
        <f t="shared" si="3"/>
        <v>1.6871068740034045</v>
      </c>
      <c r="T19" s="2">
        <v>20747</v>
      </c>
      <c r="U19" s="6">
        <v>0</v>
      </c>
      <c r="V19" s="2">
        <v>0</v>
      </c>
      <c r="W19" s="7" t="str">
        <f t="shared" si="4"/>
        <v>-</v>
      </c>
      <c r="X19" s="5">
        <v>1</v>
      </c>
      <c r="Y19" s="6">
        <v>0</v>
      </c>
      <c r="Z19" s="2">
        <v>0</v>
      </c>
      <c r="AA19" s="7" t="str">
        <f t="shared" si="5"/>
        <v>-</v>
      </c>
      <c r="AB19" s="5">
        <v>0</v>
      </c>
    </row>
    <row r="20" spans="1:28" ht="12" customHeight="1" x14ac:dyDescent="0.3">
      <c r="A20" s="1">
        <v>44690</v>
      </c>
      <c r="B20" s="1">
        <v>44696</v>
      </c>
      <c r="C20" s="2">
        <v>19</v>
      </c>
      <c r="D20" s="2">
        <v>2022</v>
      </c>
      <c r="E20" s="6">
        <v>48750.31</v>
      </c>
      <c r="F20" s="2">
        <v>61760</v>
      </c>
      <c r="G20" s="2">
        <v>69713</v>
      </c>
      <c r="H20" s="2">
        <f t="shared" si="0"/>
        <v>131473</v>
      </c>
      <c r="I20" s="6">
        <v>2348.2399999999998</v>
      </c>
      <c r="J20" s="2">
        <v>30761</v>
      </c>
      <c r="K20" s="4">
        <f t="shared" si="1"/>
        <v>7.6338220473976787E-2</v>
      </c>
      <c r="L20" s="2">
        <v>25940</v>
      </c>
      <c r="M20" s="6">
        <v>31993.63</v>
      </c>
      <c r="N20" s="2">
        <v>33906</v>
      </c>
      <c r="O20" s="4">
        <f t="shared" si="2"/>
        <v>0.94359788827936064</v>
      </c>
      <c r="P20" s="2">
        <v>27142</v>
      </c>
      <c r="Q20" s="6">
        <v>14408.44</v>
      </c>
      <c r="R20" s="2">
        <v>9157875</v>
      </c>
      <c r="S20" s="4">
        <f t="shared" si="3"/>
        <v>1.5733387931152152</v>
      </c>
      <c r="T20" s="2">
        <v>16631</v>
      </c>
      <c r="U20" s="6">
        <v>0</v>
      </c>
      <c r="V20" s="2">
        <v>0</v>
      </c>
      <c r="W20" s="7" t="str">
        <f t="shared" si="4"/>
        <v>-</v>
      </c>
      <c r="X20" s="5">
        <v>3</v>
      </c>
      <c r="Y20" s="6">
        <v>0</v>
      </c>
      <c r="Z20" s="2">
        <v>0</v>
      </c>
      <c r="AA20" s="7" t="str">
        <f t="shared" si="5"/>
        <v>-</v>
      </c>
      <c r="AB20" s="5">
        <v>0</v>
      </c>
    </row>
    <row r="21" spans="1:28" ht="12" customHeight="1" x14ac:dyDescent="0.3">
      <c r="A21" s="1">
        <v>44697</v>
      </c>
      <c r="B21" s="1">
        <v>44703</v>
      </c>
      <c r="C21" s="2">
        <v>20</v>
      </c>
      <c r="D21" s="2">
        <v>2022</v>
      </c>
      <c r="E21" s="6">
        <v>52447.12</v>
      </c>
      <c r="F21" s="2">
        <v>64669</v>
      </c>
      <c r="G21" s="2">
        <v>76019</v>
      </c>
      <c r="H21" s="2">
        <f t="shared" si="0"/>
        <v>140688</v>
      </c>
      <c r="I21" s="6">
        <v>2551.04</v>
      </c>
      <c r="J21" s="2">
        <v>32375</v>
      </c>
      <c r="K21" s="4">
        <f t="shared" si="1"/>
        <v>7.8796602316602321E-2</v>
      </c>
      <c r="L21" s="2">
        <v>26975</v>
      </c>
      <c r="M21" s="6">
        <v>35855.760000000002</v>
      </c>
      <c r="N21" s="2">
        <v>39134</v>
      </c>
      <c r="O21" s="4">
        <f t="shared" si="2"/>
        <v>0.9162303878979916</v>
      </c>
      <c r="P21" s="2">
        <v>31032</v>
      </c>
      <c r="Q21" s="6">
        <v>14040.32</v>
      </c>
      <c r="R21" s="2">
        <v>9182132</v>
      </c>
      <c r="S21" s="4">
        <f t="shared" si="3"/>
        <v>1.5290915007538555</v>
      </c>
      <c r="T21" s="2">
        <v>17976</v>
      </c>
      <c r="U21" s="6">
        <v>0</v>
      </c>
      <c r="V21" s="2">
        <v>0</v>
      </c>
      <c r="W21" s="7" t="str">
        <f t="shared" si="4"/>
        <v>-</v>
      </c>
      <c r="X21" s="5">
        <v>1</v>
      </c>
      <c r="Y21" s="6">
        <v>0</v>
      </c>
      <c r="Z21" s="2">
        <v>0</v>
      </c>
      <c r="AA21" s="7" t="str">
        <f t="shared" si="5"/>
        <v>-</v>
      </c>
      <c r="AB21" s="5">
        <v>36</v>
      </c>
    </row>
    <row r="22" spans="1:28" ht="12" customHeight="1" x14ac:dyDescent="0.3">
      <c r="A22" s="1">
        <v>44704</v>
      </c>
      <c r="B22" s="1">
        <v>44710</v>
      </c>
      <c r="C22" s="2">
        <v>21</v>
      </c>
      <c r="D22" s="2">
        <v>2022</v>
      </c>
      <c r="E22" s="6">
        <v>57708.06</v>
      </c>
      <c r="F22" s="2">
        <v>66172</v>
      </c>
      <c r="G22" s="2">
        <v>78481</v>
      </c>
      <c r="H22" s="2">
        <f t="shared" si="0"/>
        <v>144653</v>
      </c>
      <c r="I22" s="6">
        <v>2430.33</v>
      </c>
      <c r="J22" s="2">
        <v>32026</v>
      </c>
      <c r="K22" s="4">
        <f t="shared" si="1"/>
        <v>7.588615499906326E-2</v>
      </c>
      <c r="L22" s="2">
        <v>26064</v>
      </c>
      <c r="M22" s="6">
        <v>40203.949999999997</v>
      </c>
      <c r="N22" s="2">
        <v>41330</v>
      </c>
      <c r="O22" s="4">
        <f t="shared" si="2"/>
        <v>0.97275465763368008</v>
      </c>
      <c r="P22" s="2">
        <v>33141</v>
      </c>
      <c r="Q22" s="6">
        <v>15073.78</v>
      </c>
      <c r="R22" s="2">
        <v>10154417</v>
      </c>
      <c r="S22" s="4">
        <f t="shared" si="3"/>
        <v>1.4844554837564776</v>
      </c>
      <c r="T22" s="2">
        <v>19232</v>
      </c>
      <c r="U22" s="6">
        <v>0</v>
      </c>
      <c r="V22" s="2">
        <v>0</v>
      </c>
      <c r="W22" s="7" t="str">
        <f t="shared" si="4"/>
        <v>-</v>
      </c>
      <c r="X22" s="5">
        <v>1</v>
      </c>
      <c r="Y22" s="6">
        <v>0</v>
      </c>
      <c r="Z22" s="2">
        <v>0</v>
      </c>
      <c r="AA22" s="7" t="str">
        <f t="shared" si="5"/>
        <v>-</v>
      </c>
      <c r="AB22" s="5">
        <v>44</v>
      </c>
    </row>
    <row r="23" spans="1:28" ht="12" customHeight="1" x14ac:dyDescent="0.3">
      <c r="A23" s="1">
        <v>44711</v>
      </c>
      <c r="B23" s="1">
        <v>44717</v>
      </c>
      <c r="C23" s="2">
        <v>22</v>
      </c>
      <c r="D23" s="2">
        <v>2022</v>
      </c>
      <c r="E23" s="6">
        <v>51650.77</v>
      </c>
      <c r="F23" s="2">
        <v>68320</v>
      </c>
      <c r="G23" s="2">
        <v>80082</v>
      </c>
      <c r="H23" s="2">
        <f t="shared" si="0"/>
        <v>148402</v>
      </c>
      <c r="I23" s="6">
        <v>2496.7800000000002</v>
      </c>
      <c r="J23" s="2">
        <v>31615</v>
      </c>
      <c r="K23" s="4">
        <f t="shared" si="1"/>
        <v>7.8974537403131428E-2</v>
      </c>
      <c r="L23" s="2">
        <v>26388</v>
      </c>
      <c r="M23" s="6">
        <v>34061.25</v>
      </c>
      <c r="N23" s="2">
        <v>40381</v>
      </c>
      <c r="O23" s="4">
        <f t="shared" si="2"/>
        <v>0.843496941630965</v>
      </c>
      <c r="P23" s="2">
        <v>31646</v>
      </c>
      <c r="Q23" s="6">
        <v>15092.74</v>
      </c>
      <c r="R23" s="2">
        <v>11104834</v>
      </c>
      <c r="S23" s="4">
        <f t="shared" si="3"/>
        <v>1.3591144180993608</v>
      </c>
      <c r="T23" s="2">
        <v>22007</v>
      </c>
      <c r="U23" s="6">
        <v>0</v>
      </c>
      <c r="V23" s="2">
        <v>0</v>
      </c>
      <c r="W23" s="7" t="str">
        <f t="shared" si="4"/>
        <v>-</v>
      </c>
      <c r="X23" s="5">
        <v>1</v>
      </c>
      <c r="Y23" s="6">
        <v>0</v>
      </c>
      <c r="Z23" s="2">
        <v>0</v>
      </c>
      <c r="AA23" s="7" t="str">
        <f t="shared" si="5"/>
        <v>-</v>
      </c>
      <c r="AB23" s="5">
        <v>41</v>
      </c>
    </row>
    <row r="24" spans="1:28" ht="12" customHeight="1" x14ac:dyDescent="0.3">
      <c r="A24" s="1">
        <v>44718</v>
      </c>
      <c r="B24" s="1">
        <v>44724</v>
      </c>
      <c r="C24" s="2">
        <v>23</v>
      </c>
      <c r="D24" s="2">
        <v>2022</v>
      </c>
      <c r="E24" s="6">
        <v>57297.31</v>
      </c>
      <c r="F24" s="2">
        <v>71756</v>
      </c>
      <c r="G24" s="2">
        <v>80680</v>
      </c>
      <c r="H24" s="2">
        <f t="shared" si="0"/>
        <v>152436</v>
      </c>
      <c r="I24" s="6">
        <v>3471.44</v>
      </c>
      <c r="J24" s="2">
        <v>32822</v>
      </c>
      <c r="K24" s="4">
        <f t="shared" si="1"/>
        <v>0.10576564499421121</v>
      </c>
      <c r="L24" s="2">
        <v>25957</v>
      </c>
      <c r="M24" s="6">
        <v>37058.31</v>
      </c>
      <c r="N24" s="2">
        <v>42939</v>
      </c>
      <c r="O24" s="4">
        <f t="shared" si="2"/>
        <v>0.86304548312722695</v>
      </c>
      <c r="P24" s="2">
        <v>31961</v>
      </c>
      <c r="Q24" s="6">
        <v>16767.560000000001</v>
      </c>
      <c r="R24" s="2">
        <v>11188712</v>
      </c>
      <c r="S24" s="4">
        <f t="shared" si="3"/>
        <v>1.4986139602127573</v>
      </c>
      <c r="T24" s="2">
        <v>22751</v>
      </c>
      <c r="U24" s="6">
        <v>0</v>
      </c>
      <c r="V24" s="2">
        <v>0</v>
      </c>
      <c r="W24" s="7" t="str">
        <f t="shared" si="4"/>
        <v>-</v>
      </c>
      <c r="X24" s="5">
        <v>0</v>
      </c>
      <c r="Y24" s="6">
        <v>0</v>
      </c>
      <c r="Z24" s="2">
        <v>0</v>
      </c>
      <c r="AA24" s="7" t="str">
        <f t="shared" si="5"/>
        <v>-</v>
      </c>
      <c r="AB24" s="5">
        <v>11</v>
      </c>
    </row>
    <row r="25" spans="1:28" ht="12" customHeight="1" x14ac:dyDescent="0.3">
      <c r="A25" s="1">
        <v>44725</v>
      </c>
      <c r="B25" s="1">
        <v>44731</v>
      </c>
      <c r="C25" s="2">
        <v>24</v>
      </c>
      <c r="D25" s="2">
        <v>2022</v>
      </c>
      <c r="E25" s="6">
        <v>51048.71</v>
      </c>
      <c r="F25" s="2">
        <v>69841</v>
      </c>
      <c r="G25" s="2">
        <v>80868</v>
      </c>
      <c r="H25" s="2">
        <f t="shared" si="0"/>
        <v>150709</v>
      </c>
      <c r="I25" s="6">
        <v>3477.09</v>
      </c>
      <c r="J25" s="2">
        <v>32561</v>
      </c>
      <c r="K25" s="4">
        <f t="shared" si="1"/>
        <v>0.10678695371763768</v>
      </c>
      <c r="L25" s="2">
        <v>26064</v>
      </c>
      <c r="M25" s="6">
        <v>31673.69</v>
      </c>
      <c r="N25" s="2">
        <v>39616</v>
      </c>
      <c r="O25" s="4">
        <f t="shared" si="2"/>
        <v>0.79951761914378028</v>
      </c>
      <c r="P25" s="2">
        <v>30792</v>
      </c>
      <c r="Q25" s="6">
        <v>15897.93</v>
      </c>
      <c r="R25" s="2">
        <v>10553740</v>
      </c>
      <c r="S25" s="4">
        <f t="shared" si="3"/>
        <v>1.5063787813609204</v>
      </c>
      <c r="T25" s="2">
        <v>24012</v>
      </c>
      <c r="U25" s="6">
        <v>0</v>
      </c>
      <c r="V25" s="2">
        <v>0</v>
      </c>
      <c r="W25" s="7" t="str">
        <f t="shared" si="4"/>
        <v>-</v>
      </c>
      <c r="X25" s="5">
        <v>0</v>
      </c>
      <c r="Y25" s="6">
        <v>0</v>
      </c>
      <c r="Z25" s="2">
        <v>0</v>
      </c>
      <c r="AA25" s="7" t="str">
        <f t="shared" si="5"/>
        <v>-</v>
      </c>
      <c r="AB25" s="5">
        <v>0</v>
      </c>
    </row>
    <row r="26" spans="1:28" ht="12" customHeight="1" x14ac:dyDescent="0.3">
      <c r="A26" s="1">
        <v>44732</v>
      </c>
      <c r="B26" s="1">
        <v>44738</v>
      </c>
      <c r="C26" s="2">
        <v>25</v>
      </c>
      <c r="D26" s="2">
        <v>2022</v>
      </c>
      <c r="E26" s="6">
        <v>50673.120000000003</v>
      </c>
      <c r="F26" s="2">
        <v>77895</v>
      </c>
      <c r="G26" s="2">
        <v>86437</v>
      </c>
      <c r="H26" s="2">
        <f t="shared" si="0"/>
        <v>164332</v>
      </c>
      <c r="I26" s="6">
        <v>3639.15</v>
      </c>
      <c r="J26" s="2">
        <v>36299</v>
      </c>
      <c r="K26" s="4">
        <f t="shared" si="1"/>
        <v>0.10025482795669302</v>
      </c>
      <c r="L26" s="2">
        <v>29318</v>
      </c>
      <c r="M26" s="6">
        <v>30199.41</v>
      </c>
      <c r="N26" s="2">
        <v>37591</v>
      </c>
      <c r="O26" s="4">
        <f t="shared" si="2"/>
        <v>0.80336809342661808</v>
      </c>
      <c r="P26" s="2">
        <v>29679</v>
      </c>
      <c r="Q26" s="6">
        <v>16834.560000000001</v>
      </c>
      <c r="R26" s="2">
        <v>11127170</v>
      </c>
      <c r="S26" s="4">
        <f t="shared" si="3"/>
        <v>1.5129237712733787</v>
      </c>
      <c r="T26" s="2">
        <v>27440</v>
      </c>
      <c r="U26" s="6">
        <v>0</v>
      </c>
      <c r="V26" s="2">
        <v>0</v>
      </c>
      <c r="W26" s="7" t="str">
        <f t="shared" si="4"/>
        <v>-</v>
      </c>
      <c r="X26" s="5">
        <v>1</v>
      </c>
      <c r="Y26" s="6">
        <v>0</v>
      </c>
      <c r="Z26" s="2">
        <v>0</v>
      </c>
      <c r="AA26" s="7" t="str">
        <f t="shared" si="5"/>
        <v>-</v>
      </c>
      <c r="AB26" s="5">
        <v>0</v>
      </c>
    </row>
    <row r="27" spans="1:28" ht="12" customHeight="1" x14ac:dyDescent="0.3">
      <c r="A27" s="1">
        <v>44739</v>
      </c>
      <c r="B27" s="1">
        <v>44745</v>
      </c>
      <c r="C27" s="2">
        <v>26</v>
      </c>
      <c r="D27" s="2">
        <v>2022</v>
      </c>
      <c r="E27" s="6">
        <v>43972.05</v>
      </c>
      <c r="F27" s="2">
        <v>82662</v>
      </c>
      <c r="G27" s="2">
        <v>81758</v>
      </c>
      <c r="H27" s="2">
        <f t="shared" si="0"/>
        <v>164420</v>
      </c>
      <c r="I27" s="6">
        <v>3835.87</v>
      </c>
      <c r="J27" s="2">
        <v>39090</v>
      </c>
      <c r="K27" s="4">
        <f t="shared" si="1"/>
        <v>9.8129189050908158E-2</v>
      </c>
      <c r="L27" s="2">
        <v>31147</v>
      </c>
      <c r="M27" s="6">
        <v>25940.880000000001</v>
      </c>
      <c r="N27" s="2">
        <v>34382</v>
      </c>
      <c r="O27" s="4">
        <f t="shared" si="2"/>
        <v>0.75449014018963412</v>
      </c>
      <c r="P27" s="2">
        <v>25537</v>
      </c>
      <c r="Q27" s="6">
        <v>14195.3</v>
      </c>
      <c r="R27" s="2">
        <v>9460604</v>
      </c>
      <c r="S27" s="4">
        <f t="shared" si="3"/>
        <v>1.500464452375345</v>
      </c>
      <c r="T27" s="2">
        <v>25074</v>
      </c>
      <c r="U27" s="6">
        <v>0</v>
      </c>
      <c r="V27" s="2">
        <v>0</v>
      </c>
      <c r="W27" s="7" t="str">
        <f t="shared" si="4"/>
        <v>-</v>
      </c>
      <c r="X27" s="5">
        <v>0</v>
      </c>
      <c r="Y27" s="6">
        <v>0</v>
      </c>
      <c r="Z27" s="2">
        <v>0</v>
      </c>
      <c r="AA27" s="7" t="str">
        <f t="shared" si="5"/>
        <v>-</v>
      </c>
      <c r="AB27" s="5">
        <v>0</v>
      </c>
    </row>
    <row r="28" spans="1:28" ht="12" customHeight="1" x14ac:dyDescent="0.3">
      <c r="A28" s="1">
        <v>44746</v>
      </c>
      <c r="B28" s="1">
        <v>44752</v>
      </c>
      <c r="C28" s="2">
        <v>27</v>
      </c>
      <c r="D28" s="2">
        <v>2022</v>
      </c>
      <c r="E28" s="6">
        <v>36278.43</v>
      </c>
      <c r="F28" s="2">
        <v>75014</v>
      </c>
      <c r="G28" s="2">
        <v>77273</v>
      </c>
      <c r="H28" s="2">
        <f t="shared" si="0"/>
        <v>152287</v>
      </c>
      <c r="I28" s="6">
        <v>3528.3</v>
      </c>
      <c r="J28" s="2">
        <v>34528</v>
      </c>
      <c r="K28" s="4">
        <f t="shared" si="1"/>
        <v>0.1021866311399444</v>
      </c>
      <c r="L28" s="2">
        <v>28319</v>
      </c>
      <c r="M28" s="6">
        <v>19660.080000000002</v>
      </c>
      <c r="N28" s="2">
        <v>26432</v>
      </c>
      <c r="O28" s="4">
        <f t="shared" si="2"/>
        <v>0.74379842615012115</v>
      </c>
      <c r="P28" s="2">
        <v>20566</v>
      </c>
      <c r="Q28" s="6">
        <v>13090.05</v>
      </c>
      <c r="R28" s="2">
        <v>9257036</v>
      </c>
      <c r="S28" s="4">
        <f t="shared" si="3"/>
        <v>1.4140649339594229</v>
      </c>
      <c r="T28" s="2">
        <v>28388</v>
      </c>
      <c r="U28" s="6">
        <v>0</v>
      </c>
      <c r="V28" s="2">
        <v>0</v>
      </c>
      <c r="W28" s="7" t="str">
        <f t="shared" si="4"/>
        <v>-</v>
      </c>
      <c r="X28" s="5">
        <v>0</v>
      </c>
      <c r="Y28" s="6">
        <v>0</v>
      </c>
      <c r="Z28" s="2">
        <v>0</v>
      </c>
      <c r="AA28" s="7" t="str">
        <f t="shared" si="5"/>
        <v>-</v>
      </c>
      <c r="AB28" s="5">
        <v>0</v>
      </c>
    </row>
    <row r="29" spans="1:28" ht="12" customHeight="1" x14ac:dyDescent="0.3">
      <c r="A29" s="1">
        <v>44753</v>
      </c>
      <c r="B29" s="1">
        <v>44759</v>
      </c>
      <c r="C29" s="2">
        <v>28</v>
      </c>
      <c r="D29" s="2">
        <v>2022</v>
      </c>
      <c r="E29" s="6">
        <v>32524.02</v>
      </c>
      <c r="F29" s="2">
        <v>74485</v>
      </c>
      <c r="G29" s="2">
        <v>75752</v>
      </c>
      <c r="H29" s="2">
        <f t="shared" si="0"/>
        <v>150237</v>
      </c>
      <c r="I29" s="6">
        <v>5219.43</v>
      </c>
      <c r="J29" s="2">
        <v>34013</v>
      </c>
      <c r="K29" s="4">
        <f t="shared" si="1"/>
        <v>0.15345397348072798</v>
      </c>
      <c r="L29" s="2">
        <v>28939</v>
      </c>
      <c r="M29" s="6">
        <v>15475.42</v>
      </c>
      <c r="N29" s="2">
        <v>22808</v>
      </c>
      <c r="O29" s="4">
        <f t="shared" si="2"/>
        <v>0.67850841809891271</v>
      </c>
      <c r="P29" s="2">
        <v>17992</v>
      </c>
      <c r="Q29" s="6">
        <v>11829.17</v>
      </c>
      <c r="R29" s="2">
        <v>9185394</v>
      </c>
      <c r="S29" s="4">
        <f t="shared" si="3"/>
        <v>1.2878239082613114</v>
      </c>
      <c r="T29" s="2">
        <v>28821</v>
      </c>
      <c r="U29" s="6">
        <v>0</v>
      </c>
      <c r="V29" s="2">
        <v>0</v>
      </c>
      <c r="W29" s="7" t="str">
        <f t="shared" si="4"/>
        <v>-</v>
      </c>
      <c r="X29" s="5">
        <v>0</v>
      </c>
      <c r="Y29" s="6">
        <v>0</v>
      </c>
      <c r="Z29" s="2">
        <v>0</v>
      </c>
      <c r="AA29" s="7" t="str">
        <f t="shared" si="5"/>
        <v>-</v>
      </c>
      <c r="AB29" s="5">
        <v>0</v>
      </c>
    </row>
    <row r="30" spans="1:28" ht="12" customHeight="1" x14ac:dyDescent="0.3">
      <c r="A30" s="1">
        <v>44760</v>
      </c>
      <c r="B30" s="1">
        <v>44766</v>
      </c>
      <c r="C30" s="2">
        <v>29</v>
      </c>
      <c r="D30" s="2">
        <v>2022</v>
      </c>
      <c r="E30" s="6">
        <v>33016.769999999997</v>
      </c>
      <c r="F30" s="2">
        <v>75334</v>
      </c>
      <c r="G30" s="2">
        <v>71497</v>
      </c>
      <c r="H30" s="2">
        <f t="shared" si="0"/>
        <v>146831</v>
      </c>
      <c r="I30" s="6">
        <v>3524.11</v>
      </c>
      <c r="J30" s="2">
        <v>33427</v>
      </c>
      <c r="K30" s="4">
        <f t="shared" si="1"/>
        <v>0.10542704998952943</v>
      </c>
      <c r="L30" s="2">
        <v>26776</v>
      </c>
      <c r="M30" s="6">
        <v>17362.939999999999</v>
      </c>
      <c r="N30" s="2">
        <v>23974</v>
      </c>
      <c r="O30" s="4">
        <f t="shared" si="2"/>
        <v>0.72424042712939007</v>
      </c>
      <c r="P30" s="2">
        <v>17890</v>
      </c>
      <c r="Q30" s="6">
        <v>12129.72</v>
      </c>
      <c r="R30" s="2">
        <v>9175154</v>
      </c>
      <c r="S30" s="4">
        <f t="shared" si="3"/>
        <v>1.3220181372432549</v>
      </c>
      <c r="T30" s="2">
        <v>26831</v>
      </c>
      <c r="U30" s="6">
        <v>0</v>
      </c>
      <c r="V30" s="2">
        <v>0</v>
      </c>
      <c r="W30" s="7" t="str">
        <f t="shared" si="4"/>
        <v>-</v>
      </c>
      <c r="X30" s="5">
        <v>0</v>
      </c>
      <c r="Y30" s="6">
        <v>0</v>
      </c>
      <c r="Z30" s="2">
        <v>0</v>
      </c>
      <c r="AA30" s="7" t="str">
        <f t="shared" si="5"/>
        <v>-</v>
      </c>
      <c r="AB30" s="5">
        <v>0</v>
      </c>
    </row>
    <row r="31" spans="1:28" ht="12" customHeight="1" x14ac:dyDescent="0.3">
      <c r="A31" s="1">
        <v>44767</v>
      </c>
      <c r="B31" s="1">
        <v>44773</v>
      </c>
      <c r="C31" s="2">
        <v>30</v>
      </c>
      <c r="D31" s="2">
        <v>2022</v>
      </c>
      <c r="E31" s="6">
        <v>27262.42</v>
      </c>
      <c r="F31" s="2">
        <v>77875</v>
      </c>
      <c r="G31" s="2">
        <v>71657</v>
      </c>
      <c r="H31" s="2">
        <f t="shared" si="0"/>
        <v>149532</v>
      </c>
      <c r="I31" s="6">
        <v>3215.09</v>
      </c>
      <c r="J31" s="2">
        <v>33779</v>
      </c>
      <c r="K31" s="4">
        <f t="shared" si="1"/>
        <v>9.5180141508037538E-2</v>
      </c>
      <c r="L31" s="2">
        <v>27312</v>
      </c>
      <c r="M31" s="6">
        <v>13582.38</v>
      </c>
      <c r="N31" s="2">
        <v>23421</v>
      </c>
      <c r="O31" s="4">
        <f t="shared" si="2"/>
        <v>0.57992314589470983</v>
      </c>
      <c r="P31" s="2">
        <v>18433</v>
      </c>
      <c r="Q31" s="6">
        <v>10464.950000000001</v>
      </c>
      <c r="R31" s="2">
        <v>8247579</v>
      </c>
      <c r="S31" s="4">
        <f t="shared" si="3"/>
        <v>1.268851138012743</v>
      </c>
      <c r="T31" s="2">
        <v>25912</v>
      </c>
      <c r="U31" s="6">
        <v>0</v>
      </c>
      <c r="V31" s="2">
        <v>0</v>
      </c>
      <c r="W31" s="7" t="str">
        <f t="shared" si="4"/>
        <v>-</v>
      </c>
      <c r="X31" s="5">
        <v>0</v>
      </c>
      <c r="Y31" s="6">
        <v>0</v>
      </c>
      <c r="Z31" s="2">
        <v>0</v>
      </c>
      <c r="AA31" s="7" t="str">
        <f t="shared" si="5"/>
        <v>-</v>
      </c>
      <c r="AB31" s="5">
        <v>0</v>
      </c>
    </row>
    <row r="32" spans="1:28" ht="12" customHeight="1" x14ac:dyDescent="0.3">
      <c r="A32" s="1">
        <v>44774</v>
      </c>
      <c r="B32" s="1">
        <v>44780</v>
      </c>
      <c r="C32" s="2">
        <v>31</v>
      </c>
      <c r="D32" s="2">
        <v>2022</v>
      </c>
      <c r="E32" s="6">
        <v>12606.12</v>
      </c>
      <c r="F32" s="2">
        <v>79771</v>
      </c>
      <c r="G32" s="2">
        <v>52733</v>
      </c>
      <c r="H32" s="2">
        <f t="shared" si="0"/>
        <v>132504</v>
      </c>
      <c r="I32" s="6">
        <v>3018.78</v>
      </c>
      <c r="J32" s="2">
        <v>35473</v>
      </c>
      <c r="K32" s="4">
        <f t="shared" si="1"/>
        <v>8.5100780875595528E-2</v>
      </c>
      <c r="L32" s="2">
        <v>28326</v>
      </c>
      <c r="M32" s="6">
        <v>5892.29</v>
      </c>
      <c r="N32" s="2">
        <v>10573</v>
      </c>
      <c r="O32" s="4">
        <f t="shared" si="2"/>
        <v>0.55729594249503456</v>
      </c>
      <c r="P32" s="2">
        <v>8720</v>
      </c>
      <c r="Q32" s="6">
        <v>3695.05</v>
      </c>
      <c r="R32" s="2">
        <v>3570852</v>
      </c>
      <c r="S32" s="4">
        <f t="shared" si="3"/>
        <v>1.0347810550535279</v>
      </c>
      <c r="T32" s="2">
        <v>15687</v>
      </c>
      <c r="U32" s="6">
        <v>0</v>
      </c>
      <c r="V32" s="2">
        <v>0</v>
      </c>
      <c r="W32" s="7" t="str">
        <f t="shared" si="4"/>
        <v>-</v>
      </c>
      <c r="X32" s="5">
        <v>0</v>
      </c>
      <c r="Y32" s="6">
        <v>0</v>
      </c>
      <c r="Z32" s="2">
        <v>0</v>
      </c>
      <c r="AA32" s="7" t="str">
        <f t="shared" si="5"/>
        <v>-</v>
      </c>
      <c r="AB32" s="5">
        <v>0</v>
      </c>
    </row>
    <row r="33" spans="1:28" ht="12" customHeight="1" x14ac:dyDescent="0.3">
      <c r="A33" s="1">
        <v>44781</v>
      </c>
      <c r="B33" s="1">
        <v>44787</v>
      </c>
      <c r="C33" s="2">
        <v>32</v>
      </c>
      <c r="D33" s="2">
        <v>2022</v>
      </c>
      <c r="E33" s="6">
        <v>10374.6</v>
      </c>
      <c r="F33" s="2">
        <v>76784</v>
      </c>
      <c r="G33" s="2">
        <v>46262</v>
      </c>
      <c r="H33" s="2">
        <f t="shared" si="0"/>
        <v>123046</v>
      </c>
      <c r="I33" s="6">
        <v>1999.82</v>
      </c>
      <c r="J33" s="2">
        <v>32239</v>
      </c>
      <c r="K33" s="4">
        <f t="shared" si="1"/>
        <v>6.2031080368497783E-2</v>
      </c>
      <c r="L33" s="2">
        <v>25017</v>
      </c>
      <c r="M33" s="6">
        <v>5272.98</v>
      </c>
      <c r="N33" s="2">
        <v>10174</v>
      </c>
      <c r="O33" s="4">
        <f t="shared" si="2"/>
        <v>0.518279929231374</v>
      </c>
      <c r="P33" s="2">
        <v>7894</v>
      </c>
      <c r="Q33" s="6">
        <v>3101.8</v>
      </c>
      <c r="R33" s="2">
        <v>3142385</v>
      </c>
      <c r="S33" s="4">
        <f t="shared" si="3"/>
        <v>0.98708465067138507</v>
      </c>
      <c r="T33" s="2">
        <v>13351</v>
      </c>
      <c r="U33" s="6">
        <v>0</v>
      </c>
      <c r="V33" s="2">
        <v>0</v>
      </c>
      <c r="W33" s="7" t="str">
        <f t="shared" si="4"/>
        <v>-</v>
      </c>
      <c r="X33" s="5">
        <v>0</v>
      </c>
      <c r="Y33" s="6">
        <v>0</v>
      </c>
      <c r="Z33" s="2">
        <v>0</v>
      </c>
      <c r="AA33" s="7" t="str">
        <f t="shared" si="5"/>
        <v>-</v>
      </c>
      <c r="AB33" s="5">
        <v>0</v>
      </c>
    </row>
    <row r="34" spans="1:28" ht="12" customHeight="1" x14ac:dyDescent="0.3">
      <c r="A34" s="1">
        <v>44788</v>
      </c>
      <c r="B34" s="1">
        <v>44794</v>
      </c>
      <c r="C34" s="2">
        <v>33</v>
      </c>
      <c r="D34" s="2">
        <v>2022</v>
      </c>
      <c r="E34" s="6">
        <v>7444.79</v>
      </c>
      <c r="F34" s="2">
        <v>77374</v>
      </c>
      <c r="G34" s="2">
        <v>38495</v>
      </c>
      <c r="H34" s="2">
        <f t="shared" si="0"/>
        <v>115869</v>
      </c>
      <c r="I34" s="6">
        <v>1442.46</v>
      </c>
      <c r="J34" s="2">
        <v>26263</v>
      </c>
      <c r="K34" s="4">
        <f t="shared" si="1"/>
        <v>5.4923656855652439E-2</v>
      </c>
      <c r="L34" s="2">
        <v>20534</v>
      </c>
      <c r="M34" s="6">
        <v>3259.71</v>
      </c>
      <c r="N34" s="2">
        <v>7208</v>
      </c>
      <c r="O34" s="4">
        <f t="shared" si="2"/>
        <v>0.45223501664816873</v>
      </c>
      <c r="P34" s="2">
        <v>5990</v>
      </c>
      <c r="Q34" s="6">
        <v>2742.62</v>
      </c>
      <c r="R34" s="2">
        <v>3162525</v>
      </c>
      <c r="S34" s="4">
        <f t="shared" si="3"/>
        <v>0.86722476502162038</v>
      </c>
      <c r="T34" s="2">
        <v>11971</v>
      </c>
      <c r="U34" s="6">
        <v>0</v>
      </c>
      <c r="V34" s="2">
        <v>0</v>
      </c>
      <c r="W34" s="7" t="str">
        <f t="shared" si="4"/>
        <v>-</v>
      </c>
      <c r="X34" s="5">
        <v>0</v>
      </c>
      <c r="Y34" s="6">
        <v>0</v>
      </c>
      <c r="Z34" s="2">
        <v>0</v>
      </c>
      <c r="AA34" s="7" t="str">
        <f t="shared" si="5"/>
        <v>-</v>
      </c>
      <c r="AB34" s="5">
        <v>0</v>
      </c>
    </row>
    <row r="35" spans="1:28" ht="12" customHeight="1" x14ac:dyDescent="0.3">
      <c r="A35" s="1">
        <v>44795</v>
      </c>
      <c r="B35" s="1">
        <v>44801</v>
      </c>
      <c r="C35" s="2">
        <v>34</v>
      </c>
      <c r="D35" s="2">
        <v>2022</v>
      </c>
      <c r="E35" s="6">
        <v>12414</v>
      </c>
      <c r="F35" s="2">
        <v>77616</v>
      </c>
      <c r="G35" s="2">
        <v>50275</v>
      </c>
      <c r="H35" s="2">
        <f t="shared" si="0"/>
        <v>127891</v>
      </c>
      <c r="I35" s="6">
        <v>1742</v>
      </c>
      <c r="J35" s="2">
        <v>29891</v>
      </c>
      <c r="K35" s="4">
        <f t="shared" si="1"/>
        <v>5.8278411562008629E-2</v>
      </c>
      <c r="L35" s="2">
        <v>21815</v>
      </c>
      <c r="M35" s="6">
        <v>6453.48</v>
      </c>
      <c r="N35" s="2">
        <v>13836</v>
      </c>
      <c r="O35" s="4">
        <f t="shared" si="2"/>
        <v>0.46642671292281002</v>
      </c>
      <c r="P35" s="2">
        <v>11260</v>
      </c>
      <c r="Q35" s="6">
        <v>4218.5200000000004</v>
      </c>
      <c r="R35" s="2">
        <v>4444663</v>
      </c>
      <c r="S35" s="4">
        <f t="shared" si="3"/>
        <v>0.94912032700791948</v>
      </c>
      <c r="T35" s="2">
        <v>17200</v>
      </c>
      <c r="U35" s="6">
        <v>0</v>
      </c>
      <c r="V35" s="2">
        <v>0</v>
      </c>
      <c r="W35" s="7" t="str">
        <f t="shared" si="4"/>
        <v>-</v>
      </c>
      <c r="X35" s="5">
        <v>0</v>
      </c>
      <c r="Y35" s="6">
        <v>0</v>
      </c>
      <c r="Z35" s="2">
        <v>0</v>
      </c>
      <c r="AA35" s="7" t="str">
        <f t="shared" si="5"/>
        <v>-</v>
      </c>
      <c r="AB35" s="5">
        <v>0</v>
      </c>
    </row>
    <row r="36" spans="1:28" ht="12" customHeight="1" x14ac:dyDescent="0.3">
      <c r="A36" s="1">
        <v>44802</v>
      </c>
      <c r="B36" s="1">
        <v>44808</v>
      </c>
      <c r="C36" s="2">
        <v>35</v>
      </c>
      <c r="D36" s="2">
        <v>2022</v>
      </c>
      <c r="E36" s="6">
        <v>16823.98</v>
      </c>
      <c r="F36" s="2">
        <v>66491</v>
      </c>
      <c r="G36" s="2">
        <v>59269</v>
      </c>
      <c r="H36" s="2">
        <f t="shared" si="0"/>
        <v>125760</v>
      </c>
      <c r="I36" s="6">
        <v>1642.34</v>
      </c>
      <c r="J36" s="2">
        <v>25371</v>
      </c>
      <c r="K36" s="4">
        <f t="shared" si="1"/>
        <v>6.4732962831579366E-2</v>
      </c>
      <c r="L36" s="2">
        <v>19809</v>
      </c>
      <c r="M36" s="6">
        <v>8841.8799999999992</v>
      </c>
      <c r="N36" s="2">
        <v>16109</v>
      </c>
      <c r="O36" s="4">
        <f t="shared" si="2"/>
        <v>0.54887826680737473</v>
      </c>
      <c r="P36" s="2">
        <v>12799</v>
      </c>
      <c r="Q36" s="6">
        <v>6339.76</v>
      </c>
      <c r="R36" s="2">
        <v>6039003</v>
      </c>
      <c r="S36" s="4">
        <f t="shared" si="3"/>
        <v>1.0498024259964767</v>
      </c>
      <c r="T36" s="2">
        <v>26661</v>
      </c>
      <c r="U36" s="6">
        <v>0</v>
      </c>
      <c r="V36" s="2">
        <v>0</v>
      </c>
      <c r="W36" s="7" t="str">
        <f t="shared" si="4"/>
        <v>-</v>
      </c>
      <c r="X36" s="5">
        <v>0</v>
      </c>
      <c r="Y36" s="6">
        <v>0</v>
      </c>
      <c r="Z36" s="2">
        <v>0</v>
      </c>
      <c r="AA36" s="7" t="str">
        <f t="shared" si="5"/>
        <v>-</v>
      </c>
      <c r="AB36" s="5">
        <v>0</v>
      </c>
    </row>
    <row r="37" spans="1:28" ht="12" customHeight="1" x14ac:dyDescent="0.3">
      <c r="A37" s="1">
        <v>44809</v>
      </c>
      <c r="B37" s="1">
        <v>44815</v>
      </c>
      <c r="C37" s="2">
        <v>36</v>
      </c>
      <c r="D37" s="2">
        <v>2022</v>
      </c>
      <c r="E37" s="6">
        <v>28821.72</v>
      </c>
      <c r="F37" s="2">
        <v>56999</v>
      </c>
      <c r="G37" s="2">
        <v>66558</v>
      </c>
      <c r="H37" s="2">
        <f t="shared" si="0"/>
        <v>123557</v>
      </c>
      <c r="I37" s="6">
        <v>1296.96</v>
      </c>
      <c r="J37" s="2">
        <v>21024</v>
      </c>
      <c r="K37" s="4">
        <f t="shared" si="1"/>
        <v>6.1689497716894977E-2</v>
      </c>
      <c r="L37" s="2">
        <v>16325</v>
      </c>
      <c r="M37" s="6">
        <v>14927.38</v>
      </c>
      <c r="N37" s="2">
        <v>20180</v>
      </c>
      <c r="O37" s="4">
        <f t="shared" si="2"/>
        <v>0.73971159563924671</v>
      </c>
      <c r="P37" s="2">
        <v>15870</v>
      </c>
      <c r="Q37" s="6">
        <v>12597.38</v>
      </c>
      <c r="R37" s="2">
        <v>9507406</v>
      </c>
      <c r="S37" s="4">
        <f t="shared" si="3"/>
        <v>1.3250070523968367</v>
      </c>
      <c r="T37" s="2">
        <v>34363</v>
      </c>
      <c r="U37" s="6">
        <v>0</v>
      </c>
      <c r="V37" s="2">
        <v>0</v>
      </c>
      <c r="W37" s="7" t="str">
        <f t="shared" si="4"/>
        <v>-</v>
      </c>
      <c r="X37" s="5">
        <v>0</v>
      </c>
      <c r="Y37" s="6">
        <v>0</v>
      </c>
      <c r="Z37" s="2">
        <v>0</v>
      </c>
      <c r="AA37" s="7" t="str">
        <f t="shared" si="5"/>
        <v>-</v>
      </c>
      <c r="AB37" s="5">
        <v>0</v>
      </c>
    </row>
    <row r="38" spans="1:28" ht="12" customHeight="1" x14ac:dyDescent="0.3">
      <c r="A38" s="1">
        <v>44816</v>
      </c>
      <c r="B38" s="1">
        <v>44822</v>
      </c>
      <c r="C38" s="2">
        <v>37</v>
      </c>
      <c r="D38" s="2">
        <v>2022</v>
      </c>
      <c r="E38" s="6">
        <v>36967.240000000013</v>
      </c>
      <c r="F38" s="2">
        <v>60579</v>
      </c>
      <c r="G38" s="2">
        <v>71908</v>
      </c>
      <c r="H38" s="2">
        <f t="shared" si="0"/>
        <v>132487</v>
      </c>
      <c r="I38" s="6">
        <v>1215.24</v>
      </c>
      <c r="J38" s="2">
        <v>22502</v>
      </c>
      <c r="K38" s="4">
        <f t="shared" si="1"/>
        <v>5.4005866145231535E-2</v>
      </c>
      <c r="L38" s="2">
        <v>17459</v>
      </c>
      <c r="M38" s="6">
        <v>18359.87</v>
      </c>
      <c r="N38" s="2">
        <v>21483</v>
      </c>
      <c r="O38" s="4">
        <f t="shared" si="2"/>
        <v>0.85462319042964197</v>
      </c>
      <c r="P38" s="2">
        <v>17376</v>
      </c>
      <c r="Q38" s="6">
        <v>17392.13</v>
      </c>
      <c r="R38" s="2">
        <v>11362885</v>
      </c>
      <c r="S38" s="4">
        <f t="shared" si="3"/>
        <v>1.5306086438435309</v>
      </c>
      <c r="T38" s="2">
        <v>37073</v>
      </c>
      <c r="U38" s="6">
        <v>0</v>
      </c>
      <c r="V38" s="2">
        <v>0</v>
      </c>
      <c r="W38" s="7" t="str">
        <f t="shared" si="4"/>
        <v>-</v>
      </c>
      <c r="X38" s="5">
        <v>2</v>
      </c>
      <c r="Y38" s="6">
        <v>0</v>
      </c>
      <c r="Z38" s="2">
        <v>0</v>
      </c>
      <c r="AA38" s="7" t="str">
        <f t="shared" si="5"/>
        <v>-</v>
      </c>
      <c r="AB38" s="5">
        <v>0</v>
      </c>
    </row>
    <row r="39" spans="1:28" ht="12" customHeight="1" x14ac:dyDescent="0.3">
      <c r="A39" s="1">
        <v>44823</v>
      </c>
      <c r="B39" s="1">
        <v>44829</v>
      </c>
      <c r="C39" s="2">
        <v>38</v>
      </c>
      <c r="D39" s="2">
        <v>2022</v>
      </c>
      <c r="E39" s="6">
        <v>37811.18</v>
      </c>
      <c r="F39" s="2">
        <v>55471</v>
      </c>
      <c r="G39" s="2">
        <v>65508</v>
      </c>
      <c r="H39" s="2">
        <f t="shared" si="0"/>
        <v>120979</v>
      </c>
      <c r="I39" s="6">
        <v>1071.0899999999999</v>
      </c>
      <c r="J39" s="2">
        <v>19490</v>
      </c>
      <c r="K39" s="4">
        <f t="shared" si="1"/>
        <v>5.4955874807593633E-2</v>
      </c>
      <c r="L39" s="2">
        <v>15456</v>
      </c>
      <c r="M39" s="6">
        <v>18859.25</v>
      </c>
      <c r="N39" s="2">
        <v>20337</v>
      </c>
      <c r="O39" s="4">
        <f t="shared" si="2"/>
        <v>0.92733687367851703</v>
      </c>
      <c r="P39" s="2">
        <v>16782</v>
      </c>
      <c r="Q39" s="6">
        <v>17880.84</v>
      </c>
      <c r="R39" s="2">
        <v>11588087</v>
      </c>
      <c r="S39" s="4">
        <f t="shared" si="3"/>
        <v>1.5430363959124573</v>
      </c>
      <c r="T39" s="2">
        <v>33270</v>
      </c>
      <c r="U39" s="6">
        <v>0</v>
      </c>
      <c r="V39" s="2">
        <v>0</v>
      </c>
      <c r="W39" s="7" t="str">
        <f t="shared" si="4"/>
        <v>-</v>
      </c>
      <c r="X39" s="5">
        <v>0</v>
      </c>
      <c r="Y39" s="6">
        <v>0</v>
      </c>
      <c r="Z39" s="2">
        <v>0</v>
      </c>
      <c r="AA39" s="7" t="str">
        <f t="shared" si="5"/>
        <v>-</v>
      </c>
      <c r="AB39" s="5">
        <v>0</v>
      </c>
    </row>
    <row r="40" spans="1:28" ht="12" customHeight="1" x14ac:dyDescent="0.3">
      <c r="A40" s="1">
        <v>44830</v>
      </c>
      <c r="B40" s="1">
        <v>44836</v>
      </c>
      <c r="C40" s="2">
        <v>39</v>
      </c>
      <c r="D40" s="2">
        <v>2022</v>
      </c>
      <c r="E40" s="6">
        <v>37635.589999999997</v>
      </c>
      <c r="F40" s="2">
        <v>52017</v>
      </c>
      <c r="G40" s="2">
        <v>59835</v>
      </c>
      <c r="H40" s="2">
        <f t="shared" si="0"/>
        <v>111852</v>
      </c>
      <c r="I40" s="6">
        <v>921.1</v>
      </c>
      <c r="J40" s="2">
        <v>18202</v>
      </c>
      <c r="K40" s="4">
        <f t="shared" si="1"/>
        <v>5.0604329194594004E-2</v>
      </c>
      <c r="L40" s="2">
        <v>13873</v>
      </c>
      <c r="M40" s="6">
        <v>18776.54</v>
      </c>
      <c r="N40" s="2">
        <v>19101</v>
      </c>
      <c r="O40" s="4">
        <f t="shared" si="2"/>
        <v>0.98301345479294278</v>
      </c>
      <c r="P40" s="2">
        <v>15051</v>
      </c>
      <c r="Q40" s="6">
        <v>17937.95</v>
      </c>
      <c r="R40" s="2">
        <v>11947729</v>
      </c>
      <c r="S40" s="4">
        <f t="shared" si="3"/>
        <v>1.5013690049380934</v>
      </c>
      <c r="T40" s="2">
        <v>30911</v>
      </c>
      <c r="U40" s="6">
        <v>0</v>
      </c>
      <c r="V40" s="2">
        <v>0</v>
      </c>
      <c r="W40" s="7" t="str">
        <f t="shared" si="4"/>
        <v>-</v>
      </c>
      <c r="X40" s="5">
        <v>0</v>
      </c>
      <c r="Y40" s="6">
        <v>0</v>
      </c>
      <c r="Z40" s="2">
        <v>0</v>
      </c>
      <c r="AA40" s="7" t="str">
        <f t="shared" si="5"/>
        <v>-</v>
      </c>
      <c r="AB40" s="5">
        <v>0</v>
      </c>
    </row>
    <row r="41" spans="1:28" ht="12" customHeight="1" x14ac:dyDescent="0.3">
      <c r="A41" s="1">
        <v>44837</v>
      </c>
      <c r="B41" s="1">
        <v>44843</v>
      </c>
      <c r="C41" s="2">
        <v>40</v>
      </c>
      <c r="D41" s="2">
        <v>2022</v>
      </c>
      <c r="E41" s="6">
        <v>47839.03</v>
      </c>
      <c r="F41" s="2">
        <v>47693</v>
      </c>
      <c r="G41" s="2">
        <v>68300</v>
      </c>
      <c r="H41" s="2">
        <f t="shared" si="0"/>
        <v>115993</v>
      </c>
      <c r="I41" s="6">
        <v>1107</v>
      </c>
      <c r="J41" s="2">
        <v>18784</v>
      </c>
      <c r="K41" s="4">
        <f t="shared" si="1"/>
        <v>5.893313458262351E-2</v>
      </c>
      <c r="L41" s="2">
        <v>15013</v>
      </c>
      <c r="M41" s="6">
        <v>26442.79</v>
      </c>
      <c r="N41" s="2">
        <v>23963</v>
      </c>
      <c r="O41" s="4">
        <f t="shared" si="2"/>
        <v>1.1034841213537538</v>
      </c>
      <c r="P41" s="2">
        <v>18837</v>
      </c>
      <c r="Q41" s="6">
        <v>20289.240000000002</v>
      </c>
      <c r="R41" s="2">
        <v>13913503</v>
      </c>
      <c r="S41" s="4">
        <f t="shared" si="3"/>
        <v>1.4582409620352259</v>
      </c>
      <c r="T41" s="2">
        <v>34445</v>
      </c>
      <c r="U41" s="6">
        <v>0</v>
      </c>
      <c r="V41" s="2">
        <v>0</v>
      </c>
      <c r="W41" s="7" t="str">
        <f t="shared" si="4"/>
        <v>-</v>
      </c>
      <c r="X41" s="5">
        <v>0</v>
      </c>
      <c r="Y41" s="6">
        <v>0</v>
      </c>
      <c r="Z41" s="2">
        <v>0</v>
      </c>
      <c r="AA41" s="7" t="str">
        <f t="shared" si="5"/>
        <v>-</v>
      </c>
      <c r="AB41" s="5">
        <v>5</v>
      </c>
    </row>
    <row r="42" spans="1:28" ht="12" customHeight="1" x14ac:dyDescent="0.3">
      <c r="A42" s="1">
        <v>44844</v>
      </c>
      <c r="B42" s="1">
        <v>44850</v>
      </c>
      <c r="C42" s="2">
        <v>41</v>
      </c>
      <c r="D42" s="2">
        <v>2022</v>
      </c>
      <c r="E42" s="6">
        <v>45252.639999999999</v>
      </c>
      <c r="F42" s="2">
        <v>50950</v>
      </c>
      <c r="G42" s="2">
        <v>66258</v>
      </c>
      <c r="H42" s="2">
        <f t="shared" si="0"/>
        <v>117208</v>
      </c>
      <c r="I42" s="6">
        <v>1545.18</v>
      </c>
      <c r="J42" s="2">
        <v>18438</v>
      </c>
      <c r="K42" s="4">
        <f t="shared" si="1"/>
        <v>8.3804100227790432E-2</v>
      </c>
      <c r="L42" s="2">
        <v>14431</v>
      </c>
      <c r="M42" s="6">
        <v>24264.34</v>
      </c>
      <c r="N42" s="2">
        <v>22744</v>
      </c>
      <c r="O42" s="4">
        <f t="shared" si="2"/>
        <v>1.0668457615195217</v>
      </c>
      <c r="P42" s="2">
        <v>18828</v>
      </c>
      <c r="Q42" s="6">
        <v>19443.12</v>
      </c>
      <c r="R42" s="2">
        <v>13284253</v>
      </c>
      <c r="S42" s="4">
        <f t="shared" si="3"/>
        <v>1.4636216278024814</v>
      </c>
      <c r="T42" s="2">
        <v>32999</v>
      </c>
      <c r="U42" s="6">
        <v>0</v>
      </c>
      <c r="V42" s="2">
        <v>0</v>
      </c>
      <c r="W42" s="7" t="str">
        <f t="shared" si="4"/>
        <v>-</v>
      </c>
      <c r="X42" s="5">
        <v>0</v>
      </c>
      <c r="Y42" s="6">
        <v>0</v>
      </c>
      <c r="Z42" s="2">
        <v>0</v>
      </c>
      <c r="AA42" s="7" t="str">
        <f t="shared" si="5"/>
        <v>-</v>
      </c>
      <c r="AB42" s="5">
        <v>0</v>
      </c>
    </row>
    <row r="43" spans="1:28" ht="12" customHeight="1" x14ac:dyDescent="0.3">
      <c r="A43" s="1">
        <v>44851</v>
      </c>
      <c r="B43" s="1">
        <v>44857</v>
      </c>
      <c r="C43" s="2">
        <v>42</v>
      </c>
      <c r="D43" s="2">
        <v>2022</v>
      </c>
      <c r="E43" s="6">
        <v>45946.149999999987</v>
      </c>
      <c r="F43" s="2">
        <v>49701</v>
      </c>
      <c r="G43" s="2">
        <v>63015</v>
      </c>
      <c r="H43" s="2">
        <f t="shared" si="0"/>
        <v>112716</v>
      </c>
      <c r="I43" s="6">
        <v>1937.2</v>
      </c>
      <c r="J43" s="2">
        <v>19306</v>
      </c>
      <c r="K43" s="4">
        <f t="shared" si="1"/>
        <v>0.10034186263337823</v>
      </c>
      <c r="L43" s="2">
        <v>15865</v>
      </c>
      <c r="M43" s="6">
        <v>24952.75</v>
      </c>
      <c r="N43" s="2">
        <v>21638</v>
      </c>
      <c r="O43" s="4">
        <f t="shared" si="2"/>
        <v>1.1531911452075052</v>
      </c>
      <c r="P43" s="2">
        <v>17440</v>
      </c>
      <c r="Q43" s="6">
        <v>19056.2</v>
      </c>
      <c r="R43" s="2">
        <v>12104894</v>
      </c>
      <c r="S43" s="4">
        <f t="shared" si="3"/>
        <v>1.5742558340453043</v>
      </c>
      <c r="T43" s="2">
        <v>29710</v>
      </c>
      <c r="U43" s="6">
        <v>0</v>
      </c>
      <c r="V43" s="2">
        <v>0</v>
      </c>
      <c r="W43" s="7" t="str">
        <f t="shared" si="4"/>
        <v>-</v>
      </c>
      <c r="X43" s="5">
        <v>5</v>
      </c>
      <c r="Y43" s="6">
        <v>0</v>
      </c>
      <c r="Z43" s="2">
        <v>0</v>
      </c>
      <c r="AA43" s="7" t="str">
        <f t="shared" si="5"/>
        <v>-</v>
      </c>
      <c r="AB43" s="5">
        <v>0</v>
      </c>
    </row>
    <row r="44" spans="1:28" ht="12" customHeight="1" x14ac:dyDescent="0.3">
      <c r="A44" s="1">
        <v>44858</v>
      </c>
      <c r="B44" s="1">
        <v>44864</v>
      </c>
      <c r="C44" s="2">
        <v>43</v>
      </c>
      <c r="D44" s="2">
        <v>2022</v>
      </c>
      <c r="E44" s="6">
        <v>43421.97</v>
      </c>
      <c r="F44" s="2">
        <v>52664</v>
      </c>
      <c r="G44" s="2">
        <v>65644</v>
      </c>
      <c r="H44" s="2">
        <f t="shared" si="0"/>
        <v>118308</v>
      </c>
      <c r="I44" s="6">
        <v>1738.36</v>
      </c>
      <c r="J44" s="2">
        <v>19357</v>
      </c>
      <c r="K44" s="4">
        <f t="shared" si="1"/>
        <v>8.9805238415043648E-2</v>
      </c>
      <c r="L44" s="2">
        <v>15190</v>
      </c>
      <c r="M44" s="6">
        <v>22672.17</v>
      </c>
      <c r="N44" s="2">
        <v>20626</v>
      </c>
      <c r="O44" s="4">
        <f t="shared" si="2"/>
        <v>1.0992034325608455</v>
      </c>
      <c r="P44" s="2">
        <v>17213</v>
      </c>
      <c r="Q44" s="6">
        <v>19011.439999999999</v>
      </c>
      <c r="R44" s="2">
        <v>12134985</v>
      </c>
      <c r="S44" s="4">
        <f t="shared" si="3"/>
        <v>1.5666636588343537</v>
      </c>
      <c r="T44" s="2">
        <v>33240</v>
      </c>
      <c r="U44" s="6">
        <v>0</v>
      </c>
      <c r="V44" s="2">
        <v>0</v>
      </c>
      <c r="W44" s="7" t="str">
        <f t="shared" si="4"/>
        <v>-</v>
      </c>
      <c r="X44" s="5">
        <v>0</v>
      </c>
      <c r="Y44" s="6">
        <v>0</v>
      </c>
      <c r="Z44" s="2">
        <v>0</v>
      </c>
      <c r="AA44" s="7" t="str">
        <f t="shared" si="5"/>
        <v>-</v>
      </c>
      <c r="AB44" s="5">
        <v>1</v>
      </c>
    </row>
    <row r="45" spans="1:28" ht="12" customHeight="1" x14ac:dyDescent="0.3">
      <c r="A45" s="1">
        <v>44865</v>
      </c>
      <c r="B45" s="1">
        <v>44871</v>
      </c>
      <c r="C45" s="2">
        <v>44</v>
      </c>
      <c r="D45" s="2">
        <v>2022</v>
      </c>
      <c r="E45" s="6">
        <v>47482.17</v>
      </c>
      <c r="F45" s="2">
        <v>55109</v>
      </c>
      <c r="G45" s="2">
        <v>70848</v>
      </c>
      <c r="H45" s="2">
        <f t="shared" si="0"/>
        <v>125957</v>
      </c>
      <c r="I45" s="6">
        <v>2323.7399999999998</v>
      </c>
      <c r="J45" s="2">
        <v>21462</v>
      </c>
      <c r="K45" s="4">
        <f t="shared" si="1"/>
        <v>0.10827229521945764</v>
      </c>
      <c r="L45" s="2">
        <v>16663</v>
      </c>
      <c r="M45" s="6">
        <v>26218.78</v>
      </c>
      <c r="N45" s="2">
        <v>22826</v>
      </c>
      <c r="O45" s="4">
        <f t="shared" si="2"/>
        <v>1.1486366424253045</v>
      </c>
      <c r="P45" s="2">
        <v>18146</v>
      </c>
      <c r="Q45" s="6">
        <v>18939.650000000001</v>
      </c>
      <c r="R45" s="2">
        <v>14451545</v>
      </c>
      <c r="S45" s="4">
        <f t="shared" si="3"/>
        <v>1.3105622962804324</v>
      </c>
      <c r="T45" s="2">
        <v>36038</v>
      </c>
      <c r="U45" s="6">
        <v>0</v>
      </c>
      <c r="V45" s="2">
        <v>0</v>
      </c>
      <c r="W45" s="7" t="str">
        <f t="shared" si="4"/>
        <v>-</v>
      </c>
      <c r="X45" s="5">
        <v>3</v>
      </c>
      <c r="Y45" s="6">
        <v>0</v>
      </c>
      <c r="Z45" s="2">
        <v>0</v>
      </c>
      <c r="AA45" s="7" t="str">
        <f t="shared" si="5"/>
        <v>-</v>
      </c>
      <c r="AB45" s="5">
        <v>1</v>
      </c>
    </row>
    <row r="46" spans="1:28" ht="12" customHeight="1" x14ac:dyDescent="0.3">
      <c r="A46" s="1">
        <v>44872</v>
      </c>
      <c r="B46" s="1">
        <v>44878</v>
      </c>
      <c r="C46" s="2">
        <v>45</v>
      </c>
      <c r="D46" s="2">
        <v>2022</v>
      </c>
      <c r="E46" s="6">
        <v>52676.89</v>
      </c>
      <c r="F46" s="2">
        <v>49374</v>
      </c>
      <c r="G46" s="2">
        <v>73849</v>
      </c>
      <c r="H46" s="2">
        <f t="shared" si="0"/>
        <v>123223</v>
      </c>
      <c r="I46" s="6">
        <v>1975.23</v>
      </c>
      <c r="J46" s="2">
        <v>21851</v>
      </c>
      <c r="K46" s="4">
        <f t="shared" si="1"/>
        <v>9.0395405244611232E-2</v>
      </c>
      <c r="L46" s="2">
        <v>17274</v>
      </c>
      <c r="M46" s="6">
        <v>27400.21</v>
      </c>
      <c r="N46" s="2">
        <v>23618</v>
      </c>
      <c r="O46" s="4">
        <f t="shared" si="2"/>
        <v>1.1601409941569989</v>
      </c>
      <c r="P46" s="2">
        <v>19380</v>
      </c>
      <c r="Q46" s="6">
        <v>23301.45</v>
      </c>
      <c r="R46" s="2">
        <v>13067519</v>
      </c>
      <c r="S46" s="4">
        <f t="shared" si="3"/>
        <v>1.7831579200305734</v>
      </c>
      <c r="T46" s="2">
        <v>37195</v>
      </c>
      <c r="U46" s="6">
        <v>0</v>
      </c>
      <c r="V46" s="2">
        <v>0</v>
      </c>
      <c r="W46" s="7" t="str">
        <f t="shared" si="4"/>
        <v>-</v>
      </c>
      <c r="X46" s="5">
        <v>10</v>
      </c>
      <c r="Y46" s="6">
        <v>0</v>
      </c>
      <c r="Z46" s="2">
        <v>0</v>
      </c>
      <c r="AA46" s="7" t="str">
        <f t="shared" si="5"/>
        <v>-</v>
      </c>
      <c r="AB46" s="5">
        <v>0</v>
      </c>
    </row>
    <row r="47" spans="1:28" ht="12" customHeight="1" x14ac:dyDescent="0.3">
      <c r="A47" s="1">
        <v>44879</v>
      </c>
      <c r="B47" s="1">
        <v>44885</v>
      </c>
      <c r="C47" s="2">
        <v>46</v>
      </c>
      <c r="D47" s="2">
        <v>2022</v>
      </c>
      <c r="E47" s="6">
        <v>56165.16</v>
      </c>
      <c r="F47" s="2">
        <v>50086</v>
      </c>
      <c r="G47" s="2">
        <v>74694</v>
      </c>
      <c r="H47" s="2">
        <f t="shared" si="0"/>
        <v>124780</v>
      </c>
      <c r="I47" s="6">
        <v>2017.4</v>
      </c>
      <c r="J47" s="2">
        <v>22316</v>
      </c>
      <c r="K47" s="4">
        <f t="shared" si="1"/>
        <v>9.040150564617315E-2</v>
      </c>
      <c r="L47" s="2">
        <v>17078</v>
      </c>
      <c r="M47" s="6">
        <v>27493.05</v>
      </c>
      <c r="N47" s="2">
        <v>28315</v>
      </c>
      <c r="O47" s="4">
        <f t="shared" si="2"/>
        <v>0.97097121666960973</v>
      </c>
      <c r="P47" s="2">
        <v>22270</v>
      </c>
      <c r="Q47" s="6">
        <v>26654.71</v>
      </c>
      <c r="R47" s="2">
        <v>12669348</v>
      </c>
      <c r="S47" s="4">
        <f t="shared" si="3"/>
        <v>2.1038738536505588</v>
      </c>
      <c r="T47" s="2">
        <v>35312</v>
      </c>
      <c r="U47" s="6">
        <v>0</v>
      </c>
      <c r="V47" s="2">
        <v>0</v>
      </c>
      <c r="W47" s="7" t="str">
        <f t="shared" si="4"/>
        <v>-</v>
      </c>
      <c r="X47" s="5">
        <v>11</v>
      </c>
      <c r="Y47" s="6">
        <v>0</v>
      </c>
      <c r="Z47" s="2">
        <v>0</v>
      </c>
      <c r="AA47" s="7" t="str">
        <f t="shared" si="5"/>
        <v>-</v>
      </c>
      <c r="AB47" s="5">
        <v>34</v>
      </c>
    </row>
    <row r="48" spans="1:28" ht="12" customHeight="1" x14ac:dyDescent="0.3">
      <c r="A48" s="1">
        <v>44886</v>
      </c>
      <c r="B48" s="1">
        <v>44892</v>
      </c>
      <c r="C48" s="2">
        <v>47</v>
      </c>
      <c r="D48" s="2">
        <v>2022</v>
      </c>
      <c r="E48" s="6">
        <v>51143.7</v>
      </c>
      <c r="F48" s="2">
        <v>57973</v>
      </c>
      <c r="G48" s="2">
        <v>75528</v>
      </c>
      <c r="H48" s="2">
        <f t="shared" si="0"/>
        <v>133501</v>
      </c>
      <c r="I48" s="6">
        <v>2544.36</v>
      </c>
      <c r="J48" s="2">
        <v>23982</v>
      </c>
      <c r="K48" s="4">
        <f t="shared" si="1"/>
        <v>0.10609457092819616</v>
      </c>
      <c r="L48" s="2">
        <v>18328</v>
      </c>
      <c r="M48" s="6">
        <v>25902.28</v>
      </c>
      <c r="N48" s="2">
        <v>27792</v>
      </c>
      <c r="O48" s="4">
        <f t="shared" si="2"/>
        <v>0.93200489349453075</v>
      </c>
      <c r="P48" s="2">
        <v>23265</v>
      </c>
      <c r="Q48" s="6">
        <v>22697.06</v>
      </c>
      <c r="R48" s="2">
        <v>9823300</v>
      </c>
      <c r="S48" s="4">
        <f t="shared" si="3"/>
        <v>2.3105331202345445</v>
      </c>
      <c r="T48" s="2">
        <v>33760</v>
      </c>
      <c r="U48" s="6">
        <v>0</v>
      </c>
      <c r="V48" s="2">
        <v>0</v>
      </c>
      <c r="W48" s="7" t="str">
        <f t="shared" si="4"/>
        <v>-</v>
      </c>
      <c r="X48" s="5">
        <v>131</v>
      </c>
      <c r="Y48" s="6">
        <v>0</v>
      </c>
      <c r="Z48" s="2">
        <v>0</v>
      </c>
      <c r="AA48" s="7" t="str">
        <f t="shared" si="5"/>
        <v>-</v>
      </c>
      <c r="AB48" s="5">
        <v>175</v>
      </c>
    </row>
    <row r="49" spans="1:28" ht="12" customHeight="1" x14ac:dyDescent="0.3">
      <c r="A49" s="1">
        <v>44893</v>
      </c>
      <c r="B49" s="1">
        <v>44899</v>
      </c>
      <c r="C49" s="2">
        <v>48</v>
      </c>
      <c r="D49" s="2">
        <v>2022</v>
      </c>
      <c r="E49" s="6">
        <v>48014.460000000006</v>
      </c>
      <c r="F49" s="2">
        <v>55498</v>
      </c>
      <c r="G49" s="2">
        <v>75884</v>
      </c>
      <c r="H49" s="2">
        <f t="shared" si="0"/>
        <v>131382</v>
      </c>
      <c r="I49" s="6">
        <v>2308.08</v>
      </c>
      <c r="J49" s="2">
        <v>22964</v>
      </c>
      <c r="K49" s="4">
        <f t="shared" si="1"/>
        <v>0.10050862219125588</v>
      </c>
      <c r="L49" s="2">
        <v>17566</v>
      </c>
      <c r="M49" s="6">
        <v>27272.33</v>
      </c>
      <c r="N49" s="2">
        <v>33828</v>
      </c>
      <c r="O49" s="4">
        <f t="shared" si="2"/>
        <v>0.80620580584131496</v>
      </c>
      <c r="P49" s="2">
        <v>27522</v>
      </c>
      <c r="Q49" s="6">
        <v>18434.05</v>
      </c>
      <c r="R49" s="2">
        <v>10173027</v>
      </c>
      <c r="S49" s="4">
        <f t="shared" si="3"/>
        <v>1.812051614529284</v>
      </c>
      <c r="T49" s="2">
        <v>30754</v>
      </c>
      <c r="U49" s="6">
        <v>0</v>
      </c>
      <c r="V49" s="2">
        <v>0</v>
      </c>
      <c r="W49" s="7" t="str">
        <f t="shared" si="4"/>
        <v>-</v>
      </c>
      <c r="X49" s="5">
        <v>45</v>
      </c>
      <c r="Y49" s="6">
        <v>0</v>
      </c>
      <c r="Z49" s="2">
        <v>0</v>
      </c>
      <c r="AA49" s="7" t="str">
        <f t="shared" si="5"/>
        <v>-</v>
      </c>
      <c r="AB49" s="5">
        <v>42</v>
      </c>
    </row>
    <row r="50" spans="1:28" ht="12" customHeight="1" x14ac:dyDescent="0.3">
      <c r="A50" s="1">
        <v>44900</v>
      </c>
      <c r="B50" s="1">
        <v>44906</v>
      </c>
      <c r="C50" s="2">
        <v>49</v>
      </c>
      <c r="D50" s="2">
        <v>2022</v>
      </c>
      <c r="E50" s="6">
        <v>50866.539999999994</v>
      </c>
      <c r="F50" s="2">
        <v>54846</v>
      </c>
      <c r="G50" s="2">
        <v>81839</v>
      </c>
      <c r="H50" s="2">
        <f t="shared" si="0"/>
        <v>136685</v>
      </c>
      <c r="I50" s="6">
        <v>2419.39</v>
      </c>
      <c r="J50" s="2">
        <v>25149</v>
      </c>
      <c r="K50" s="4">
        <f t="shared" si="1"/>
        <v>9.6202234681299445E-2</v>
      </c>
      <c r="L50" s="2">
        <v>18178</v>
      </c>
      <c r="M50" s="6">
        <v>28859.66</v>
      </c>
      <c r="N50" s="2">
        <v>37462</v>
      </c>
      <c r="O50" s="4">
        <f t="shared" si="2"/>
        <v>0.77037157653088462</v>
      </c>
      <c r="P50" s="2">
        <v>30084</v>
      </c>
      <c r="Q50" s="6">
        <v>18740.57</v>
      </c>
      <c r="R50" s="2">
        <v>10962500</v>
      </c>
      <c r="S50" s="4">
        <f t="shared" si="3"/>
        <v>1.7095160775370581</v>
      </c>
      <c r="T50" s="2">
        <v>33522</v>
      </c>
      <c r="U50" s="6">
        <v>846.92</v>
      </c>
      <c r="V50" s="2">
        <v>9690</v>
      </c>
      <c r="W50" s="7">
        <f t="shared" si="4"/>
        <v>8.7401444788441682E-2</v>
      </c>
      <c r="X50" s="5">
        <v>1170</v>
      </c>
      <c r="Y50" s="6">
        <v>0</v>
      </c>
      <c r="Z50" s="2">
        <v>0</v>
      </c>
      <c r="AA50" s="7" t="str">
        <f t="shared" si="5"/>
        <v>-</v>
      </c>
      <c r="AB50" s="5">
        <v>55</v>
      </c>
    </row>
    <row r="51" spans="1:28" ht="12" customHeight="1" x14ac:dyDescent="0.3">
      <c r="A51" s="1">
        <v>44907</v>
      </c>
      <c r="B51" s="1">
        <v>44913</v>
      </c>
      <c r="C51" s="2">
        <v>50</v>
      </c>
      <c r="D51" s="2">
        <v>2022</v>
      </c>
      <c r="E51" s="6">
        <v>48106.400000000001</v>
      </c>
      <c r="F51" s="2">
        <v>50932</v>
      </c>
      <c r="G51" s="2">
        <v>85188</v>
      </c>
      <c r="H51" s="2">
        <f t="shared" si="0"/>
        <v>136120</v>
      </c>
      <c r="I51" s="6">
        <v>2416.34</v>
      </c>
      <c r="J51" s="2">
        <v>21678</v>
      </c>
      <c r="K51" s="4">
        <f t="shared" si="1"/>
        <v>0.11146507980441001</v>
      </c>
      <c r="L51" s="2">
        <v>17244</v>
      </c>
      <c r="M51" s="6">
        <v>27608.02</v>
      </c>
      <c r="N51" s="2">
        <v>33752</v>
      </c>
      <c r="O51" s="4">
        <f t="shared" si="2"/>
        <v>0.81796693529272335</v>
      </c>
      <c r="P51" s="2">
        <v>26197</v>
      </c>
      <c r="Q51" s="6">
        <v>16917.689999999999</v>
      </c>
      <c r="R51" s="2">
        <v>9209670</v>
      </c>
      <c r="S51" s="4">
        <f t="shared" si="3"/>
        <v>1.8369485551599567</v>
      </c>
      <c r="T51" s="2">
        <v>41739</v>
      </c>
      <c r="U51" s="6">
        <v>1164.3499999999999</v>
      </c>
      <c r="V51" s="2">
        <v>11663</v>
      </c>
      <c r="W51" s="7">
        <f t="shared" si="4"/>
        <v>9.9832804595730074E-2</v>
      </c>
      <c r="X51" s="5">
        <v>2095</v>
      </c>
      <c r="Y51" s="6">
        <v>0</v>
      </c>
      <c r="Z51" s="2">
        <v>0</v>
      </c>
      <c r="AA51" s="7" t="str">
        <f t="shared" si="5"/>
        <v>-</v>
      </c>
      <c r="AB51" s="5">
        <v>8</v>
      </c>
    </row>
    <row r="52" spans="1:28" ht="12" customHeight="1" x14ac:dyDescent="0.3">
      <c r="A52" s="1">
        <v>44914</v>
      </c>
      <c r="B52" s="1">
        <v>44920</v>
      </c>
      <c r="C52" s="2">
        <v>51</v>
      </c>
      <c r="D52" s="2">
        <v>2022</v>
      </c>
      <c r="E52" s="6">
        <v>47498.86</v>
      </c>
      <c r="F52" s="2">
        <v>45342</v>
      </c>
      <c r="G52" s="2">
        <v>88327</v>
      </c>
      <c r="H52" s="2">
        <f t="shared" si="0"/>
        <v>133669</v>
      </c>
      <c r="I52" s="6">
        <v>2261.34</v>
      </c>
      <c r="J52" s="2">
        <v>20815</v>
      </c>
      <c r="K52" s="4">
        <f t="shared" si="1"/>
        <v>0.10863992313235649</v>
      </c>
      <c r="L52" s="2">
        <v>15954</v>
      </c>
      <c r="M52" s="6">
        <v>26442.89</v>
      </c>
      <c r="N52" s="2">
        <v>28436</v>
      </c>
      <c r="O52" s="4">
        <f t="shared" si="2"/>
        <v>0.92990891827261213</v>
      </c>
      <c r="P52" s="2">
        <v>21996</v>
      </c>
      <c r="Q52" s="6">
        <v>17373.95</v>
      </c>
      <c r="R52" s="2">
        <v>11526756</v>
      </c>
      <c r="S52" s="4">
        <f t="shared" si="3"/>
        <v>1.5072714300536942</v>
      </c>
      <c r="T52" s="2">
        <v>50377</v>
      </c>
      <c r="U52" s="6">
        <v>1420.68</v>
      </c>
      <c r="V52" s="2">
        <v>11972</v>
      </c>
      <c r="W52" s="7">
        <f t="shared" si="4"/>
        <v>0.11866688940862012</v>
      </c>
      <c r="X52" s="5">
        <v>2961</v>
      </c>
      <c r="Y52" s="6">
        <v>0</v>
      </c>
      <c r="Z52" s="2">
        <v>0</v>
      </c>
      <c r="AA52" s="7" t="str">
        <f t="shared" si="5"/>
        <v>-</v>
      </c>
      <c r="AB52" s="5">
        <v>0</v>
      </c>
    </row>
    <row r="53" spans="1:28" ht="12" customHeight="1" x14ac:dyDescent="0.3">
      <c r="A53" s="1">
        <v>44921</v>
      </c>
      <c r="B53" s="1">
        <v>44927</v>
      </c>
      <c r="C53" s="2">
        <v>52</v>
      </c>
      <c r="D53" s="2">
        <v>2022</v>
      </c>
      <c r="E53" s="6">
        <v>46956.46</v>
      </c>
      <c r="F53" s="2">
        <v>62277</v>
      </c>
      <c r="G53" s="2">
        <v>130034</v>
      </c>
      <c r="H53" s="2">
        <f t="shared" si="0"/>
        <v>192311</v>
      </c>
      <c r="I53" s="6">
        <v>3154.93</v>
      </c>
      <c r="J53" s="2">
        <v>31425</v>
      </c>
      <c r="K53" s="4">
        <f t="shared" si="1"/>
        <v>0.10039554494828958</v>
      </c>
      <c r="L53" s="2">
        <v>23426</v>
      </c>
      <c r="M53" s="6">
        <v>24792.11</v>
      </c>
      <c r="N53" s="2">
        <v>34002</v>
      </c>
      <c r="O53" s="4">
        <f t="shared" si="2"/>
        <v>0.72913681548144227</v>
      </c>
      <c r="P53" s="2">
        <v>27582</v>
      </c>
      <c r="Q53" s="6">
        <v>17494.63</v>
      </c>
      <c r="R53" s="2">
        <v>18626933</v>
      </c>
      <c r="S53" s="4">
        <f t="shared" si="3"/>
        <v>0.93921151700067862</v>
      </c>
      <c r="T53" s="2">
        <v>79026</v>
      </c>
      <c r="U53" s="6">
        <v>1514.79</v>
      </c>
      <c r="V53" s="2">
        <v>12587</v>
      </c>
      <c r="W53" s="7">
        <f t="shared" si="4"/>
        <v>0.12034559466115834</v>
      </c>
      <c r="X53" s="5">
        <v>3834</v>
      </c>
      <c r="Y53" s="6">
        <v>0</v>
      </c>
      <c r="Z53" s="2">
        <v>0</v>
      </c>
      <c r="AA53" s="7" t="str">
        <f t="shared" si="5"/>
        <v>-</v>
      </c>
      <c r="AB53" s="5">
        <v>0</v>
      </c>
    </row>
    <row r="54" spans="1:28" ht="12" customHeight="1" x14ac:dyDescent="0.3">
      <c r="A54" s="1">
        <v>44928</v>
      </c>
      <c r="B54" s="1">
        <v>44934</v>
      </c>
      <c r="C54" s="2">
        <v>1</v>
      </c>
      <c r="D54" s="2">
        <v>2023</v>
      </c>
      <c r="E54" s="6">
        <v>55975.419999999991</v>
      </c>
      <c r="F54" s="2">
        <v>86404</v>
      </c>
      <c r="G54" s="2">
        <v>176041</v>
      </c>
      <c r="H54" s="2">
        <f t="shared" si="0"/>
        <v>262445</v>
      </c>
      <c r="I54" s="6">
        <v>3564.04</v>
      </c>
      <c r="J54" s="2">
        <v>41878</v>
      </c>
      <c r="K54" s="4">
        <f t="shared" si="1"/>
        <v>8.5105305888533364E-2</v>
      </c>
      <c r="L54" s="2">
        <v>32495</v>
      </c>
      <c r="M54" s="6">
        <v>29716.55</v>
      </c>
      <c r="N54" s="2">
        <v>45182</v>
      </c>
      <c r="O54" s="4">
        <f t="shared" si="2"/>
        <v>0.65770771546190965</v>
      </c>
      <c r="P54" s="2">
        <v>38295</v>
      </c>
      <c r="Q54" s="6">
        <v>21163.74</v>
      </c>
      <c r="R54" s="2">
        <v>25023933</v>
      </c>
      <c r="S54" s="4">
        <f t="shared" si="3"/>
        <v>0.84573995622510667</v>
      </c>
      <c r="T54" s="2">
        <v>105251</v>
      </c>
      <c r="U54" s="6">
        <v>1531.09</v>
      </c>
      <c r="V54" s="2">
        <v>15037</v>
      </c>
      <c r="W54" s="7">
        <f t="shared" si="4"/>
        <v>0.10182150694952451</v>
      </c>
      <c r="X54" s="5">
        <v>6037</v>
      </c>
      <c r="Y54" s="6">
        <v>0</v>
      </c>
      <c r="Z54" s="2">
        <v>0</v>
      </c>
      <c r="AA54" s="7" t="str">
        <f t="shared" si="5"/>
        <v>-</v>
      </c>
      <c r="AB54" s="5">
        <v>0</v>
      </c>
    </row>
    <row r="55" spans="1:28" ht="12" customHeight="1" x14ac:dyDescent="0.3">
      <c r="A55" s="1">
        <v>44935</v>
      </c>
      <c r="B55" s="1">
        <v>44941</v>
      </c>
      <c r="C55" s="2">
        <v>2</v>
      </c>
      <c r="D55" s="2">
        <v>2023</v>
      </c>
      <c r="E55" s="6">
        <v>60782.07</v>
      </c>
      <c r="F55" s="2">
        <v>93691</v>
      </c>
      <c r="G55" s="2">
        <v>155670</v>
      </c>
      <c r="H55" s="2">
        <f t="shared" si="0"/>
        <v>249361</v>
      </c>
      <c r="I55" s="6">
        <v>3942.5</v>
      </c>
      <c r="J55" s="2">
        <v>37716</v>
      </c>
      <c r="K55" s="4">
        <f t="shared" si="1"/>
        <v>0.10453123342878354</v>
      </c>
      <c r="L55" s="2">
        <v>29949</v>
      </c>
      <c r="M55" s="6">
        <v>31266.2</v>
      </c>
      <c r="N55" s="2">
        <v>42479</v>
      </c>
      <c r="O55" s="4">
        <f t="shared" si="2"/>
        <v>0.73603898396854917</v>
      </c>
      <c r="P55" s="2">
        <v>35562</v>
      </c>
      <c r="Q55" s="6">
        <v>24041.119999999999</v>
      </c>
      <c r="R55" s="2">
        <v>23521949</v>
      </c>
      <c r="S55" s="4">
        <f t="shared" si="3"/>
        <v>1.0220717679474605</v>
      </c>
      <c r="T55" s="2">
        <v>90159</v>
      </c>
      <c r="U55" s="6">
        <v>1532.25</v>
      </c>
      <c r="V55" s="2">
        <v>15755</v>
      </c>
      <c r="W55" s="7">
        <f t="shared" si="4"/>
        <v>9.7254839733417961E-2</v>
      </c>
      <c r="X55" s="5">
        <v>5439</v>
      </c>
      <c r="Y55" s="6">
        <v>0</v>
      </c>
      <c r="Z55" s="2">
        <v>0</v>
      </c>
      <c r="AA55" s="7" t="str">
        <f t="shared" si="5"/>
        <v>-</v>
      </c>
      <c r="AB55" s="5">
        <v>0</v>
      </c>
    </row>
    <row r="56" spans="1:28" ht="12" customHeight="1" x14ac:dyDescent="0.3">
      <c r="A56" s="1">
        <v>44942</v>
      </c>
      <c r="B56" s="1">
        <v>44948</v>
      </c>
      <c r="C56" s="2">
        <v>3</v>
      </c>
      <c r="D56" s="2">
        <v>2023</v>
      </c>
      <c r="E56" s="6">
        <v>70690.37000000001</v>
      </c>
      <c r="F56" s="2">
        <v>89759</v>
      </c>
      <c r="G56" s="2">
        <v>163439</v>
      </c>
      <c r="H56" s="2">
        <f t="shared" si="0"/>
        <v>253198</v>
      </c>
      <c r="I56" s="6">
        <v>4048.94</v>
      </c>
      <c r="J56" s="2">
        <v>37209</v>
      </c>
      <c r="K56" s="4">
        <f t="shared" si="1"/>
        <v>0.10881614663119138</v>
      </c>
      <c r="L56" s="2">
        <v>29973</v>
      </c>
      <c r="M56" s="6">
        <v>32722.9</v>
      </c>
      <c r="N56" s="2">
        <v>41326</v>
      </c>
      <c r="O56" s="4">
        <f t="shared" si="2"/>
        <v>0.79182354933939891</v>
      </c>
      <c r="P56" s="2">
        <v>34320</v>
      </c>
      <c r="Q56" s="6">
        <v>32391.82</v>
      </c>
      <c r="R56" s="2">
        <v>25903566</v>
      </c>
      <c r="S56" s="4">
        <f t="shared" si="3"/>
        <v>1.2504772508927922</v>
      </c>
      <c r="T56" s="2">
        <v>98983</v>
      </c>
      <c r="U56" s="6">
        <v>1526.71</v>
      </c>
      <c r="V56" s="2">
        <v>16772</v>
      </c>
      <c r="W56" s="7">
        <f t="shared" si="4"/>
        <v>9.1027307417123782E-2</v>
      </c>
      <c r="X56" s="5">
        <v>5005</v>
      </c>
      <c r="Y56" s="6">
        <v>0</v>
      </c>
      <c r="Z56" s="2">
        <v>0</v>
      </c>
      <c r="AA56" s="7" t="str">
        <f t="shared" si="5"/>
        <v>-</v>
      </c>
      <c r="AB56" s="5">
        <v>163</v>
      </c>
    </row>
    <row r="57" spans="1:28" ht="12" customHeight="1" x14ac:dyDescent="0.3">
      <c r="A57" s="1">
        <v>44949</v>
      </c>
      <c r="B57" s="1">
        <v>44955</v>
      </c>
      <c r="C57" s="2">
        <v>4</v>
      </c>
      <c r="D57" s="2">
        <v>2023</v>
      </c>
      <c r="E57" s="6">
        <v>79804.3</v>
      </c>
      <c r="F57" s="2">
        <v>87197</v>
      </c>
      <c r="G57" s="2">
        <v>153464</v>
      </c>
      <c r="H57" s="2">
        <f t="shared" si="0"/>
        <v>240661</v>
      </c>
      <c r="I57" s="6">
        <v>4111.72</v>
      </c>
      <c r="J57" s="2">
        <v>35801</v>
      </c>
      <c r="K57" s="4">
        <f t="shared" si="1"/>
        <v>0.11484930588531048</v>
      </c>
      <c r="L57" s="2">
        <v>28183</v>
      </c>
      <c r="M57" s="6">
        <v>37841.42</v>
      </c>
      <c r="N57" s="2">
        <v>43831</v>
      </c>
      <c r="O57" s="4">
        <f t="shared" si="2"/>
        <v>0.86334831511943599</v>
      </c>
      <c r="P57" s="2">
        <v>36262</v>
      </c>
      <c r="Q57" s="6">
        <v>36319.919999999998</v>
      </c>
      <c r="R57" s="2">
        <v>25636470</v>
      </c>
      <c r="S57" s="4">
        <f t="shared" si="3"/>
        <v>1.4167285901686153</v>
      </c>
      <c r="T57" s="2">
        <v>89000</v>
      </c>
      <c r="U57" s="6">
        <v>1531.24</v>
      </c>
      <c r="V57" s="2">
        <v>19043</v>
      </c>
      <c r="W57" s="7">
        <f t="shared" si="4"/>
        <v>8.0409599327837006E-2</v>
      </c>
      <c r="X57" s="5">
        <v>4832</v>
      </c>
      <c r="Y57" s="6">
        <v>0</v>
      </c>
      <c r="Z57" s="2">
        <v>0</v>
      </c>
      <c r="AA57" s="7" t="str">
        <f t="shared" si="5"/>
        <v>-</v>
      </c>
      <c r="AB57" s="5">
        <v>19</v>
      </c>
    </row>
    <row r="58" spans="1:28" ht="12" customHeight="1" x14ac:dyDescent="0.3">
      <c r="A58" s="1">
        <v>44956</v>
      </c>
      <c r="B58" s="1">
        <v>44962</v>
      </c>
      <c r="C58" s="2">
        <v>5</v>
      </c>
      <c r="D58" s="2">
        <v>2023</v>
      </c>
      <c r="E58" s="6">
        <v>77065.73000000001</v>
      </c>
      <c r="F58" s="2">
        <v>81508</v>
      </c>
      <c r="G58" s="2">
        <v>148626</v>
      </c>
      <c r="H58" s="2">
        <f t="shared" si="0"/>
        <v>230134</v>
      </c>
      <c r="I58" s="6">
        <v>3782.29</v>
      </c>
      <c r="J58" s="2">
        <v>32538</v>
      </c>
      <c r="K58" s="4">
        <f t="shared" si="1"/>
        <v>0.11624223984264552</v>
      </c>
      <c r="L58" s="2">
        <v>25770</v>
      </c>
      <c r="M58" s="6">
        <v>39931.370000000003</v>
      </c>
      <c r="N58" s="2">
        <v>44381</v>
      </c>
      <c r="O58" s="4">
        <f t="shared" si="2"/>
        <v>0.89974020414141187</v>
      </c>
      <c r="P58" s="2">
        <v>36401</v>
      </c>
      <c r="Q58" s="6">
        <v>31823.75</v>
      </c>
      <c r="R58" s="2">
        <v>22469590</v>
      </c>
      <c r="S58" s="4">
        <f t="shared" si="3"/>
        <v>1.4163031012136849</v>
      </c>
      <c r="T58" s="2">
        <v>86451</v>
      </c>
      <c r="U58" s="6">
        <v>1528.32</v>
      </c>
      <c r="V58" s="2">
        <v>19269</v>
      </c>
      <c r="W58" s="7">
        <f t="shared" si="4"/>
        <v>7.9314961855830604E-2</v>
      </c>
      <c r="X58" s="5">
        <v>5182</v>
      </c>
      <c r="Y58" s="6">
        <v>0</v>
      </c>
      <c r="Z58" s="2">
        <v>0</v>
      </c>
      <c r="AA58" s="7" t="str">
        <f t="shared" si="5"/>
        <v>-</v>
      </c>
      <c r="AB58" s="5">
        <v>4</v>
      </c>
    </row>
    <row r="59" spans="1:28" ht="12" customHeight="1" x14ac:dyDescent="0.3">
      <c r="A59" s="1">
        <v>44963</v>
      </c>
      <c r="B59" s="1">
        <v>44969</v>
      </c>
      <c r="C59" s="2">
        <v>6</v>
      </c>
      <c r="D59" s="2">
        <v>2023</v>
      </c>
      <c r="E59" s="6">
        <v>78009.58</v>
      </c>
      <c r="F59" s="2">
        <v>69591</v>
      </c>
      <c r="G59" s="2">
        <v>128836</v>
      </c>
      <c r="H59" s="2">
        <f t="shared" si="0"/>
        <v>198427</v>
      </c>
      <c r="I59" s="6">
        <v>4340.8100000000004</v>
      </c>
      <c r="J59" s="2">
        <v>26988</v>
      </c>
      <c r="K59" s="4">
        <f t="shared" si="1"/>
        <v>0.16084222617459612</v>
      </c>
      <c r="L59" s="2">
        <v>21645</v>
      </c>
      <c r="M59" s="6">
        <v>42116.92</v>
      </c>
      <c r="N59" s="2">
        <v>43689</v>
      </c>
      <c r="O59" s="4">
        <f t="shared" si="2"/>
        <v>0.9640165716770811</v>
      </c>
      <c r="P59" s="2">
        <v>34432</v>
      </c>
      <c r="Q59" s="6">
        <v>31279.21</v>
      </c>
      <c r="R59" s="2">
        <v>22276663</v>
      </c>
      <c r="S59" s="4">
        <f t="shared" si="3"/>
        <v>1.404124576468208</v>
      </c>
      <c r="T59" s="2">
        <v>72758</v>
      </c>
      <c r="U59" s="6">
        <v>272.64</v>
      </c>
      <c r="V59" s="2">
        <v>3926</v>
      </c>
      <c r="W59" s="7">
        <f t="shared" si="4"/>
        <v>6.9444727457972491E-2</v>
      </c>
      <c r="X59" s="5">
        <v>1202</v>
      </c>
      <c r="Y59" s="6">
        <v>0</v>
      </c>
      <c r="Z59" s="2">
        <v>0</v>
      </c>
      <c r="AA59" s="7" t="str">
        <f t="shared" si="5"/>
        <v>-</v>
      </c>
      <c r="AB59" s="5">
        <v>1</v>
      </c>
    </row>
    <row r="60" spans="1:28" ht="12" customHeight="1" x14ac:dyDescent="0.3">
      <c r="A60" s="1">
        <v>44970</v>
      </c>
      <c r="B60" s="1">
        <v>44976</v>
      </c>
      <c r="C60" s="2">
        <v>7</v>
      </c>
      <c r="D60" s="2">
        <v>2023</v>
      </c>
      <c r="E60" s="6">
        <v>75017.210000000006</v>
      </c>
      <c r="F60" s="2">
        <v>72934</v>
      </c>
      <c r="G60" s="2">
        <v>136614</v>
      </c>
      <c r="H60" s="2">
        <f t="shared" si="0"/>
        <v>209548</v>
      </c>
      <c r="I60" s="6">
        <v>5965.23</v>
      </c>
      <c r="J60" s="2">
        <v>31040</v>
      </c>
      <c r="K60" s="4">
        <f t="shared" si="1"/>
        <v>0.19217880154639175</v>
      </c>
      <c r="L60" s="2">
        <v>23611</v>
      </c>
      <c r="M60" s="6">
        <v>38148.730000000003</v>
      </c>
      <c r="N60" s="2">
        <v>42843</v>
      </c>
      <c r="O60" s="4">
        <f t="shared" si="2"/>
        <v>0.89043087552225575</v>
      </c>
      <c r="P60" s="2">
        <v>34574</v>
      </c>
      <c r="Q60" s="6">
        <v>30146.76</v>
      </c>
      <c r="R60" s="2">
        <v>20600218</v>
      </c>
      <c r="S60" s="4">
        <f t="shared" si="3"/>
        <v>1.4634194647843046</v>
      </c>
      <c r="T60" s="2">
        <v>78427</v>
      </c>
      <c r="U60" s="6">
        <v>756.49</v>
      </c>
      <c r="V60" s="2">
        <v>7168</v>
      </c>
      <c r="W60" s="7">
        <f t="shared" si="4"/>
        <v>0.10553710937500001</v>
      </c>
      <c r="X60" s="5">
        <v>1678</v>
      </c>
      <c r="Y60" s="6">
        <v>0</v>
      </c>
      <c r="Z60" s="2">
        <v>0</v>
      </c>
      <c r="AA60" s="7" t="str">
        <f t="shared" si="5"/>
        <v>-</v>
      </c>
      <c r="AB60" s="5">
        <v>2</v>
      </c>
    </row>
    <row r="61" spans="1:28" ht="12" customHeight="1" x14ac:dyDescent="0.3">
      <c r="A61" s="1">
        <v>44977</v>
      </c>
      <c r="B61" s="1">
        <v>44983</v>
      </c>
      <c r="C61" s="2">
        <v>8</v>
      </c>
      <c r="D61" s="2">
        <v>2023</v>
      </c>
      <c r="E61" s="6">
        <v>76589.94</v>
      </c>
      <c r="F61" s="2">
        <v>77545</v>
      </c>
      <c r="G61" s="2">
        <v>132390</v>
      </c>
      <c r="H61" s="2">
        <f t="shared" si="0"/>
        <v>209935</v>
      </c>
      <c r="I61" s="6">
        <v>6621.76</v>
      </c>
      <c r="J61" s="2">
        <v>36811</v>
      </c>
      <c r="K61" s="4">
        <f t="shared" si="1"/>
        <v>0.17988536035424194</v>
      </c>
      <c r="L61" s="2">
        <v>25703</v>
      </c>
      <c r="M61" s="6">
        <v>38319.64</v>
      </c>
      <c r="N61" s="2">
        <v>46152</v>
      </c>
      <c r="O61" s="4">
        <f t="shared" si="2"/>
        <v>0.83029207834980068</v>
      </c>
      <c r="P61" s="2">
        <v>33616</v>
      </c>
      <c r="Q61" s="6">
        <v>30130.2</v>
      </c>
      <c r="R61" s="2">
        <v>20087427</v>
      </c>
      <c r="S61" s="4">
        <f t="shared" si="3"/>
        <v>1.4999531796680581</v>
      </c>
      <c r="T61" s="2">
        <v>73067</v>
      </c>
      <c r="U61" s="6">
        <v>1518.34</v>
      </c>
      <c r="V61" s="2">
        <v>20545</v>
      </c>
      <c r="W61" s="7">
        <f t="shared" si="4"/>
        <v>7.3903139449987831E-2</v>
      </c>
      <c r="X61" s="5">
        <v>4973</v>
      </c>
      <c r="Y61" s="6">
        <v>0</v>
      </c>
      <c r="Z61" s="2">
        <v>0</v>
      </c>
      <c r="AA61" s="7" t="str">
        <f t="shared" si="5"/>
        <v>-</v>
      </c>
      <c r="AB61" s="5">
        <v>4</v>
      </c>
    </row>
    <row r="62" spans="1:28" ht="12" customHeight="1" x14ac:dyDescent="0.3">
      <c r="A62" s="1">
        <v>44984</v>
      </c>
      <c r="B62" s="1">
        <v>44990</v>
      </c>
      <c r="C62" s="2">
        <v>9</v>
      </c>
      <c r="D62" s="2">
        <v>2023</v>
      </c>
      <c r="E62" s="6">
        <v>60788.469999999987</v>
      </c>
      <c r="F62" s="2">
        <v>71924</v>
      </c>
      <c r="G62" s="2">
        <v>92141</v>
      </c>
      <c r="H62" s="2">
        <f t="shared" si="0"/>
        <v>164065</v>
      </c>
      <c r="I62" s="6">
        <v>6217.56</v>
      </c>
      <c r="J62" s="2">
        <v>37644</v>
      </c>
      <c r="K62" s="4">
        <f t="shared" si="1"/>
        <v>0.16516735734778451</v>
      </c>
      <c r="L62" s="2">
        <v>22788</v>
      </c>
      <c r="M62" s="6">
        <v>28918.86</v>
      </c>
      <c r="N62" s="2">
        <v>34747</v>
      </c>
      <c r="O62" s="4">
        <f t="shared" si="2"/>
        <v>0.83226926065559614</v>
      </c>
      <c r="P62" s="2">
        <v>19953</v>
      </c>
      <c r="Q62" s="6">
        <v>24385.13</v>
      </c>
      <c r="R62" s="2">
        <v>15734630</v>
      </c>
      <c r="S62" s="4">
        <f t="shared" si="3"/>
        <v>1.5497746054403567</v>
      </c>
      <c r="T62" s="2">
        <v>49397</v>
      </c>
      <c r="U62" s="6">
        <v>1266.92</v>
      </c>
      <c r="V62" s="2">
        <v>17426</v>
      </c>
      <c r="W62" s="7">
        <f t="shared" si="4"/>
        <v>7.2702857798691609E-2</v>
      </c>
      <c r="X62" s="5">
        <v>3741</v>
      </c>
      <c r="Y62" s="6">
        <v>0</v>
      </c>
      <c r="Z62" s="2">
        <v>0</v>
      </c>
      <c r="AA62" s="7" t="str">
        <f t="shared" si="5"/>
        <v>-</v>
      </c>
      <c r="AB62" s="5">
        <v>3</v>
      </c>
    </row>
    <row r="63" spans="1:28" ht="12" customHeight="1" x14ac:dyDescent="0.3">
      <c r="A63" s="1">
        <v>44991</v>
      </c>
      <c r="B63" s="1">
        <v>44997</v>
      </c>
      <c r="C63" s="2">
        <v>10</v>
      </c>
      <c r="D63" s="2">
        <v>2023</v>
      </c>
      <c r="E63" s="6">
        <v>76185.66</v>
      </c>
      <c r="F63" s="2">
        <v>83991</v>
      </c>
      <c r="G63" s="2">
        <v>110594</v>
      </c>
      <c r="H63" s="2">
        <f t="shared" si="0"/>
        <v>194585</v>
      </c>
      <c r="I63" s="6">
        <v>5401.17</v>
      </c>
      <c r="J63" s="2">
        <v>42402</v>
      </c>
      <c r="K63" s="4">
        <f t="shared" si="1"/>
        <v>0.12738007641149002</v>
      </c>
      <c r="L63" s="2">
        <v>24679</v>
      </c>
      <c r="M63" s="6">
        <v>35711.120000000003</v>
      </c>
      <c r="N63" s="2">
        <v>45670</v>
      </c>
      <c r="O63" s="4">
        <f t="shared" si="2"/>
        <v>0.78193825268228601</v>
      </c>
      <c r="P63" s="2">
        <v>25475</v>
      </c>
      <c r="Q63" s="6">
        <v>31929.040000000001</v>
      </c>
      <c r="R63" s="2">
        <v>19899824</v>
      </c>
      <c r="S63" s="4">
        <f t="shared" si="3"/>
        <v>1.6044885623109029</v>
      </c>
      <c r="T63" s="2">
        <v>59602</v>
      </c>
      <c r="U63" s="6">
        <v>1365.84</v>
      </c>
      <c r="V63" s="2">
        <v>19107</v>
      </c>
      <c r="W63" s="7">
        <f t="shared" si="4"/>
        <v>7.1483749411210551E-2</v>
      </c>
      <c r="X63" s="5">
        <v>4287</v>
      </c>
      <c r="Y63" s="6">
        <v>1778.49</v>
      </c>
      <c r="Z63" s="2">
        <v>1537888</v>
      </c>
      <c r="AA63" s="7">
        <f t="shared" si="5"/>
        <v>1.1564496244199838</v>
      </c>
      <c r="AB63" s="5">
        <v>838</v>
      </c>
    </row>
    <row r="64" spans="1:28" ht="12" customHeight="1" x14ac:dyDescent="0.3">
      <c r="A64" s="1">
        <v>44998</v>
      </c>
      <c r="B64" s="1">
        <v>45004</v>
      </c>
      <c r="C64" s="2">
        <v>11</v>
      </c>
      <c r="D64" s="2">
        <v>2023</v>
      </c>
      <c r="E64" s="6">
        <v>83577.38</v>
      </c>
      <c r="F64" s="2">
        <v>85103</v>
      </c>
      <c r="G64" s="2">
        <v>115210</v>
      </c>
      <c r="H64" s="2">
        <f t="shared" si="0"/>
        <v>200313</v>
      </c>
      <c r="I64" s="6">
        <v>6638.84</v>
      </c>
      <c r="J64" s="2">
        <v>46719</v>
      </c>
      <c r="K64" s="4">
        <f t="shared" si="1"/>
        <v>0.1421015004601982</v>
      </c>
      <c r="L64" s="2">
        <v>28075</v>
      </c>
      <c r="M64" s="6">
        <v>35875.18</v>
      </c>
      <c r="N64" s="2">
        <v>48009</v>
      </c>
      <c r="O64" s="4">
        <f t="shared" si="2"/>
        <v>0.74725947218229916</v>
      </c>
      <c r="P64" s="2">
        <v>28017</v>
      </c>
      <c r="Q64" s="6">
        <v>34777.379999999997</v>
      </c>
      <c r="R64" s="2">
        <v>21309340</v>
      </c>
      <c r="S64" s="4">
        <f t="shared" si="3"/>
        <v>1.632025205848703</v>
      </c>
      <c r="T64" s="2">
        <v>57142</v>
      </c>
      <c r="U64" s="6">
        <v>1579.41</v>
      </c>
      <c r="V64" s="2">
        <v>20188</v>
      </c>
      <c r="W64" s="7">
        <f t="shared" si="4"/>
        <v>7.8235090152565884E-2</v>
      </c>
      <c r="X64" s="5">
        <v>4362</v>
      </c>
      <c r="Y64" s="6">
        <v>4706.57</v>
      </c>
      <c r="Z64" s="2">
        <v>3855058</v>
      </c>
      <c r="AA64" s="7">
        <f t="shared" si="5"/>
        <v>1.2208817610526221</v>
      </c>
      <c r="AB64" s="5">
        <v>1976</v>
      </c>
    </row>
    <row r="65" spans="1:28" ht="12" customHeight="1" x14ac:dyDescent="0.3">
      <c r="A65" s="1">
        <v>45005</v>
      </c>
      <c r="B65" s="1">
        <v>45011</v>
      </c>
      <c r="C65" s="2">
        <v>12</v>
      </c>
      <c r="D65" s="2">
        <v>2023</v>
      </c>
      <c r="E65" s="6">
        <v>84186.44</v>
      </c>
      <c r="F65" s="2">
        <v>84224</v>
      </c>
      <c r="G65" s="2">
        <v>117957</v>
      </c>
      <c r="H65" s="2">
        <f t="shared" si="0"/>
        <v>202181</v>
      </c>
      <c r="I65" s="6">
        <v>7796.88</v>
      </c>
      <c r="J65" s="2">
        <v>50341</v>
      </c>
      <c r="K65" s="4">
        <f t="shared" si="1"/>
        <v>0.15488130946941855</v>
      </c>
      <c r="L65" s="2">
        <v>31057</v>
      </c>
      <c r="M65" s="6">
        <v>32713.200000000001</v>
      </c>
      <c r="N65" s="2">
        <v>47899</v>
      </c>
      <c r="O65" s="4">
        <f t="shared" si="2"/>
        <v>0.6829620660139043</v>
      </c>
      <c r="P65" s="2">
        <v>27062</v>
      </c>
      <c r="Q65" s="6">
        <v>35233.910000000003</v>
      </c>
      <c r="R65" s="2">
        <v>20888408</v>
      </c>
      <c r="S65" s="4">
        <f t="shared" si="3"/>
        <v>1.6867685656082552</v>
      </c>
      <c r="T65" s="2">
        <v>56244</v>
      </c>
      <c r="U65" s="6">
        <v>1681.24</v>
      </c>
      <c r="V65" s="2">
        <v>19536</v>
      </c>
      <c r="W65" s="7">
        <f t="shared" si="4"/>
        <v>8.6058558558558554E-2</v>
      </c>
      <c r="X65" s="5">
        <v>4908</v>
      </c>
      <c r="Y65" s="6">
        <v>6761.21</v>
      </c>
      <c r="Z65" s="2">
        <v>4368579</v>
      </c>
      <c r="AA65" s="7">
        <f t="shared" si="5"/>
        <v>1.5476909081877654</v>
      </c>
      <c r="AB65" s="5">
        <v>3594</v>
      </c>
    </row>
    <row r="66" spans="1:28" ht="12" customHeight="1" x14ac:dyDescent="0.3">
      <c r="A66" s="1">
        <v>45012</v>
      </c>
      <c r="B66" s="1">
        <v>45018</v>
      </c>
      <c r="C66" s="2">
        <v>13</v>
      </c>
      <c r="D66" s="2">
        <v>2023</v>
      </c>
      <c r="E66" s="6">
        <v>78221.5</v>
      </c>
      <c r="F66" s="2">
        <v>115192</v>
      </c>
      <c r="G66" s="2">
        <v>157024</v>
      </c>
      <c r="H66" s="2">
        <f t="shared" si="0"/>
        <v>272216</v>
      </c>
      <c r="I66" s="6">
        <v>7424.46</v>
      </c>
      <c r="J66" s="2">
        <v>51027</v>
      </c>
      <c r="K66" s="4">
        <f t="shared" si="1"/>
        <v>0.14550061732024222</v>
      </c>
      <c r="L66" s="2">
        <v>42772</v>
      </c>
      <c r="M66" s="6">
        <v>30409.94</v>
      </c>
      <c r="N66" s="2">
        <v>46740</v>
      </c>
      <c r="O66" s="4">
        <f t="shared" si="2"/>
        <v>0.65061916987590929</v>
      </c>
      <c r="P66" s="2">
        <v>34478</v>
      </c>
      <c r="Q66" s="6">
        <v>30410.33</v>
      </c>
      <c r="R66" s="2">
        <v>19606975</v>
      </c>
      <c r="S66" s="4">
        <f t="shared" si="3"/>
        <v>1.5509955003257769</v>
      </c>
      <c r="T66" s="2">
        <v>72192</v>
      </c>
      <c r="U66" s="6">
        <v>1687.4</v>
      </c>
      <c r="V66" s="2">
        <v>27973</v>
      </c>
      <c r="W66" s="7">
        <f t="shared" si="4"/>
        <v>6.0322453794730634E-2</v>
      </c>
      <c r="X66" s="5">
        <v>6225</v>
      </c>
      <c r="Y66" s="6">
        <v>8289.3700000000008</v>
      </c>
      <c r="Z66" s="2">
        <v>5650210</v>
      </c>
      <c r="AA66" s="7">
        <f t="shared" si="5"/>
        <v>1.4670906037120746</v>
      </c>
      <c r="AB66" s="5">
        <v>7582</v>
      </c>
    </row>
    <row r="67" spans="1:28" ht="12" customHeight="1" x14ac:dyDescent="0.3">
      <c r="A67" s="1">
        <v>45019</v>
      </c>
      <c r="B67" s="1">
        <v>45025</v>
      </c>
      <c r="C67" s="2">
        <v>14</v>
      </c>
      <c r="D67" s="2">
        <v>2023</v>
      </c>
      <c r="E67" s="6">
        <v>73794.560000000012</v>
      </c>
      <c r="F67" s="2">
        <v>112686</v>
      </c>
      <c r="G67" s="2">
        <v>149209</v>
      </c>
      <c r="H67" s="2">
        <f t="shared" si="0"/>
        <v>261895</v>
      </c>
      <c r="I67" s="6">
        <v>6572.76</v>
      </c>
      <c r="J67" s="2">
        <v>50344</v>
      </c>
      <c r="K67" s="4">
        <f t="shared" si="1"/>
        <v>0.13055696805974892</v>
      </c>
      <c r="L67" s="2">
        <v>41867</v>
      </c>
      <c r="M67" s="6">
        <v>33979.01</v>
      </c>
      <c r="N67" s="2">
        <v>41914</v>
      </c>
      <c r="O67" s="4">
        <f t="shared" si="2"/>
        <v>0.81068401965930248</v>
      </c>
      <c r="P67" s="2">
        <v>31363</v>
      </c>
      <c r="Q67" s="6">
        <v>25309.43</v>
      </c>
      <c r="R67" s="2">
        <v>17275219</v>
      </c>
      <c r="S67" s="4">
        <f t="shared" si="3"/>
        <v>1.4650714413519159</v>
      </c>
      <c r="T67" s="2">
        <v>70004</v>
      </c>
      <c r="U67" s="6">
        <v>1725.33</v>
      </c>
      <c r="V67" s="2">
        <v>26221</v>
      </c>
      <c r="W67" s="7">
        <f t="shared" si="4"/>
        <v>6.5799549979024444E-2</v>
      </c>
      <c r="X67" s="5">
        <v>6905</v>
      </c>
      <c r="Y67" s="6">
        <v>6208.03</v>
      </c>
      <c r="Z67" s="2">
        <v>4558583</v>
      </c>
      <c r="AA67" s="7">
        <f t="shared" si="5"/>
        <v>1.3618332714354437</v>
      </c>
      <c r="AB67" s="5">
        <v>5975</v>
      </c>
    </row>
    <row r="68" spans="1:28" ht="12" customHeight="1" x14ac:dyDescent="0.3">
      <c r="A68" s="1">
        <v>45026</v>
      </c>
      <c r="B68" s="1">
        <v>45032</v>
      </c>
      <c r="C68" s="2">
        <v>15</v>
      </c>
      <c r="D68" s="2">
        <v>2023</v>
      </c>
      <c r="E68" s="6">
        <v>75734.02</v>
      </c>
      <c r="F68" s="2">
        <v>136597</v>
      </c>
      <c r="G68" s="2">
        <v>168464</v>
      </c>
      <c r="H68" s="2">
        <f t="shared" si="0"/>
        <v>305061</v>
      </c>
      <c r="I68" s="6">
        <v>6824.89</v>
      </c>
      <c r="J68" s="2">
        <v>55417</v>
      </c>
      <c r="K68" s="4">
        <f t="shared" si="1"/>
        <v>0.12315516899146473</v>
      </c>
      <c r="L68" s="2">
        <v>44329</v>
      </c>
      <c r="M68" s="6">
        <v>34941.97</v>
      </c>
      <c r="N68" s="2">
        <v>44306</v>
      </c>
      <c r="O68" s="4">
        <f t="shared" si="2"/>
        <v>0.78865097278021035</v>
      </c>
      <c r="P68" s="2">
        <v>34040</v>
      </c>
      <c r="Q68" s="6">
        <v>30046.3</v>
      </c>
      <c r="R68" s="2">
        <v>21556985</v>
      </c>
      <c r="S68" s="4">
        <f t="shared" si="3"/>
        <v>1.3938080858710065</v>
      </c>
      <c r="T68" s="2">
        <v>87232</v>
      </c>
      <c r="U68" s="6">
        <v>1812.82</v>
      </c>
      <c r="V68" s="2">
        <v>29249</v>
      </c>
      <c r="W68" s="7">
        <f t="shared" si="4"/>
        <v>6.1978871072515297E-2</v>
      </c>
      <c r="X68" s="5">
        <v>8959</v>
      </c>
      <c r="Y68" s="6">
        <v>2108.04</v>
      </c>
      <c r="Z68" s="2">
        <v>1512753</v>
      </c>
      <c r="AA68" s="7">
        <f t="shared" si="5"/>
        <v>1.3935123579328548</v>
      </c>
      <c r="AB68" s="5">
        <v>2863</v>
      </c>
    </row>
    <row r="69" spans="1:28" ht="12" customHeight="1" x14ac:dyDescent="0.3">
      <c r="A69" s="1">
        <v>45033</v>
      </c>
      <c r="B69" s="1">
        <v>45039</v>
      </c>
      <c r="C69" s="2">
        <v>16</v>
      </c>
      <c r="D69" s="2">
        <v>2023</v>
      </c>
      <c r="E69" s="6">
        <v>91153.98</v>
      </c>
      <c r="F69" s="2">
        <v>105613</v>
      </c>
      <c r="G69" s="2">
        <v>185432</v>
      </c>
      <c r="H69" s="2">
        <f t="shared" si="0"/>
        <v>291045</v>
      </c>
      <c r="I69" s="6">
        <v>6413</v>
      </c>
      <c r="J69" s="2">
        <v>46607</v>
      </c>
      <c r="K69" s="4">
        <f t="shared" si="1"/>
        <v>0.13759735662025019</v>
      </c>
      <c r="L69" s="2">
        <v>39665</v>
      </c>
      <c r="M69" s="6">
        <v>41409.25</v>
      </c>
      <c r="N69" s="2">
        <v>45843</v>
      </c>
      <c r="O69" s="4">
        <f t="shared" si="2"/>
        <v>0.90328403463996687</v>
      </c>
      <c r="P69" s="2">
        <v>35195</v>
      </c>
      <c r="Q69" s="6">
        <v>39275.03</v>
      </c>
      <c r="R69" s="2">
        <v>23334721</v>
      </c>
      <c r="S69" s="4">
        <f t="shared" si="3"/>
        <v>1.6831154741468732</v>
      </c>
      <c r="T69" s="2">
        <v>107372</v>
      </c>
      <c r="U69" s="6">
        <v>2034.92</v>
      </c>
      <c r="V69" s="2">
        <v>25715</v>
      </c>
      <c r="W69" s="7">
        <f t="shared" si="4"/>
        <v>7.9133579622788261E-2</v>
      </c>
      <c r="X69" s="5">
        <v>9444</v>
      </c>
      <c r="Y69" s="6">
        <v>2021.78</v>
      </c>
      <c r="Z69" s="2">
        <v>1501932</v>
      </c>
      <c r="AA69" s="7">
        <f t="shared" si="5"/>
        <v>1.3461195313769199</v>
      </c>
      <c r="AB69" s="5">
        <v>3200</v>
      </c>
    </row>
    <row r="70" spans="1:28" ht="12" customHeight="1" x14ac:dyDescent="0.3">
      <c r="A70" s="1">
        <v>45040</v>
      </c>
      <c r="B70" s="1">
        <v>45046</v>
      </c>
      <c r="C70" s="2">
        <v>17</v>
      </c>
      <c r="D70" s="2">
        <v>2023</v>
      </c>
      <c r="E70" s="6">
        <v>92444.38</v>
      </c>
      <c r="F70" s="2">
        <v>105633</v>
      </c>
      <c r="G70" s="2">
        <v>205570</v>
      </c>
      <c r="H70" s="2">
        <f t="shared" si="0"/>
        <v>311203</v>
      </c>
      <c r="I70" s="6">
        <v>7709.81</v>
      </c>
      <c r="J70" s="2">
        <v>50939</v>
      </c>
      <c r="K70" s="4">
        <f t="shared" si="1"/>
        <v>0.15135377608512143</v>
      </c>
      <c r="L70" s="2">
        <v>41817</v>
      </c>
      <c r="M70" s="6">
        <v>40668.21</v>
      </c>
      <c r="N70" s="2">
        <v>47412</v>
      </c>
      <c r="O70" s="4">
        <f t="shared" si="2"/>
        <v>0.85776195899772212</v>
      </c>
      <c r="P70" s="2">
        <v>38565</v>
      </c>
      <c r="Q70" s="6">
        <v>40249.300000000003</v>
      </c>
      <c r="R70" s="2">
        <v>25685048</v>
      </c>
      <c r="S70" s="4">
        <f t="shared" si="3"/>
        <v>1.5670323061105436</v>
      </c>
      <c r="T70" s="2">
        <v>121944</v>
      </c>
      <c r="U70" s="6">
        <v>2065.52</v>
      </c>
      <c r="V70" s="2">
        <v>31306</v>
      </c>
      <c r="W70" s="7">
        <f t="shared" si="4"/>
        <v>6.5978406695202191E-2</v>
      </c>
      <c r="X70" s="5">
        <v>12326</v>
      </c>
      <c r="Y70" s="6">
        <v>1751.54</v>
      </c>
      <c r="Z70" s="2">
        <v>1358834</v>
      </c>
      <c r="AA70" s="7">
        <f t="shared" si="5"/>
        <v>1.2890021886411438</v>
      </c>
      <c r="AB70" s="5">
        <v>3244</v>
      </c>
    </row>
    <row r="71" spans="1:28" ht="12" customHeight="1" x14ac:dyDescent="0.3">
      <c r="A71" s="1">
        <v>45047</v>
      </c>
      <c r="B71" s="1">
        <v>45053</v>
      </c>
      <c r="C71" s="2">
        <v>18</v>
      </c>
      <c r="D71" s="2">
        <v>2023</v>
      </c>
      <c r="E71" s="6">
        <v>91379.210000000021</v>
      </c>
      <c r="F71" s="2">
        <v>105390</v>
      </c>
      <c r="G71" s="2">
        <v>192454</v>
      </c>
      <c r="H71" s="2">
        <f t="shared" si="0"/>
        <v>297844</v>
      </c>
      <c r="I71" s="6">
        <v>8943.68</v>
      </c>
      <c r="J71" s="2">
        <v>51431</v>
      </c>
      <c r="K71" s="4">
        <f t="shared" si="1"/>
        <v>0.17389667710135912</v>
      </c>
      <c r="L71" s="2">
        <v>39071</v>
      </c>
      <c r="M71" s="6">
        <v>38825.58</v>
      </c>
      <c r="N71" s="2">
        <v>45738</v>
      </c>
      <c r="O71" s="4">
        <f t="shared" si="2"/>
        <v>0.84886921159648432</v>
      </c>
      <c r="P71" s="2">
        <v>38319</v>
      </c>
      <c r="Q71" s="6">
        <v>40152.879999999997</v>
      </c>
      <c r="R71" s="2">
        <v>25824631</v>
      </c>
      <c r="S71" s="4">
        <f t="shared" si="3"/>
        <v>1.5548287989090723</v>
      </c>
      <c r="T71" s="2">
        <v>112601</v>
      </c>
      <c r="U71" s="6">
        <v>2101.46</v>
      </c>
      <c r="V71" s="2">
        <v>33150</v>
      </c>
      <c r="W71" s="7">
        <f t="shared" si="4"/>
        <v>6.3392458521870282E-2</v>
      </c>
      <c r="X71" s="5">
        <v>11652</v>
      </c>
      <c r="Y71" s="6">
        <v>1355.61</v>
      </c>
      <c r="Z71" s="2">
        <v>1214499</v>
      </c>
      <c r="AA71" s="7">
        <f t="shared" si="5"/>
        <v>1.1161886506287777</v>
      </c>
      <c r="AB71" s="5">
        <v>2463</v>
      </c>
    </row>
    <row r="72" spans="1:28" ht="12" customHeight="1" x14ac:dyDescent="0.3">
      <c r="A72" s="1">
        <v>45054</v>
      </c>
      <c r="B72" s="1">
        <v>45060</v>
      </c>
      <c r="C72" s="2">
        <v>19</v>
      </c>
      <c r="D72" s="2">
        <v>2023</v>
      </c>
      <c r="E72" s="6">
        <v>93884.229999999981</v>
      </c>
      <c r="F72" s="2">
        <v>104896</v>
      </c>
      <c r="G72" s="2">
        <v>175738</v>
      </c>
      <c r="H72" s="2">
        <f t="shared" si="0"/>
        <v>280634</v>
      </c>
      <c r="I72" s="6">
        <v>9895.5</v>
      </c>
      <c r="J72" s="2">
        <v>49746</v>
      </c>
      <c r="K72" s="4">
        <f t="shared" si="1"/>
        <v>0.19892051622240983</v>
      </c>
      <c r="L72" s="2">
        <v>38495</v>
      </c>
      <c r="M72" s="6">
        <v>42514.49</v>
      </c>
      <c r="N72" s="2">
        <v>47636</v>
      </c>
      <c r="O72" s="4">
        <f t="shared" si="2"/>
        <v>0.8924865647829372</v>
      </c>
      <c r="P72" s="2">
        <v>37829</v>
      </c>
      <c r="Q72" s="6">
        <v>37673.870000000003</v>
      </c>
      <c r="R72" s="2">
        <v>21052586</v>
      </c>
      <c r="S72" s="4">
        <f t="shared" si="3"/>
        <v>1.7895126992949941</v>
      </c>
      <c r="T72" s="2">
        <v>96800</v>
      </c>
      <c r="U72" s="6">
        <v>2109.15</v>
      </c>
      <c r="V72" s="2">
        <v>26063</v>
      </c>
      <c r="W72" s="7">
        <f t="shared" si="4"/>
        <v>8.0925066185780617E-2</v>
      </c>
      <c r="X72" s="5">
        <v>11043</v>
      </c>
      <c r="Y72" s="6">
        <v>1691.22</v>
      </c>
      <c r="Z72" s="2">
        <v>1388426</v>
      </c>
      <c r="AA72" s="7">
        <f t="shared" si="5"/>
        <v>1.218084363156553</v>
      </c>
      <c r="AB72" s="5">
        <v>2614</v>
      </c>
    </row>
    <row r="73" spans="1:28" ht="12" customHeight="1" x14ac:dyDescent="0.3">
      <c r="A73" s="1">
        <v>45061</v>
      </c>
      <c r="B73" s="1">
        <v>45067</v>
      </c>
      <c r="C73" s="2">
        <v>20</v>
      </c>
      <c r="D73" s="2">
        <v>2023</v>
      </c>
      <c r="E73" s="6">
        <v>82904.830000000016</v>
      </c>
      <c r="F73" s="2">
        <v>104399</v>
      </c>
      <c r="G73" s="2">
        <v>155719</v>
      </c>
      <c r="H73" s="2">
        <f t="shared" si="0"/>
        <v>260118</v>
      </c>
      <c r="I73" s="6">
        <v>10390.69</v>
      </c>
      <c r="J73" s="2">
        <v>48166</v>
      </c>
      <c r="K73" s="4">
        <f t="shared" si="1"/>
        <v>0.21572665365610597</v>
      </c>
      <c r="L73" s="2">
        <v>36665</v>
      </c>
      <c r="M73" s="6">
        <v>32631.57</v>
      </c>
      <c r="N73" s="2">
        <v>39350</v>
      </c>
      <c r="O73" s="4">
        <f t="shared" si="2"/>
        <v>0.8292648030495553</v>
      </c>
      <c r="P73" s="2">
        <v>32428</v>
      </c>
      <c r="Q73" s="6">
        <v>34182.03</v>
      </c>
      <c r="R73" s="2">
        <v>19274056</v>
      </c>
      <c r="S73" s="4">
        <f t="shared" si="3"/>
        <v>1.7734736269314564</v>
      </c>
      <c r="T73" s="2">
        <v>83592</v>
      </c>
      <c r="U73" s="6">
        <v>2083.5500000000002</v>
      </c>
      <c r="V73" s="2">
        <v>21729</v>
      </c>
      <c r="W73" s="7">
        <f t="shared" si="4"/>
        <v>9.5887983800451021E-2</v>
      </c>
      <c r="X73" s="5">
        <v>8837</v>
      </c>
      <c r="Y73" s="6">
        <v>3616.99</v>
      </c>
      <c r="Z73" s="2">
        <v>3760979</v>
      </c>
      <c r="AA73" s="7">
        <f t="shared" si="5"/>
        <v>0.9617150215409338</v>
      </c>
      <c r="AB73" s="5">
        <v>3034</v>
      </c>
    </row>
    <row r="74" spans="1:28" ht="12" customHeight="1" x14ac:dyDescent="0.3">
      <c r="A74" s="1">
        <v>45068</v>
      </c>
      <c r="B74" s="1">
        <v>45074</v>
      </c>
      <c r="C74" s="2">
        <v>21</v>
      </c>
      <c r="D74" s="2">
        <v>2023</v>
      </c>
      <c r="E74" s="6">
        <v>75890.92</v>
      </c>
      <c r="F74" s="2">
        <v>109025</v>
      </c>
      <c r="G74" s="2">
        <v>151556</v>
      </c>
      <c r="H74" s="2">
        <f t="shared" si="0"/>
        <v>260581</v>
      </c>
      <c r="I74" s="6">
        <v>9995.0400000000009</v>
      </c>
      <c r="J74" s="2">
        <v>51089</v>
      </c>
      <c r="K74" s="4">
        <f t="shared" si="1"/>
        <v>0.19563976589872578</v>
      </c>
      <c r="L74" s="2">
        <v>38858</v>
      </c>
      <c r="M74" s="6">
        <v>29835.38</v>
      </c>
      <c r="N74" s="2">
        <v>38872</v>
      </c>
      <c r="O74" s="4">
        <f t="shared" si="2"/>
        <v>0.76752881251286276</v>
      </c>
      <c r="P74" s="2">
        <v>32886</v>
      </c>
      <c r="Q74" s="6">
        <v>32313.73</v>
      </c>
      <c r="R74" s="2">
        <v>16754131</v>
      </c>
      <c r="S74" s="4">
        <f t="shared" si="3"/>
        <v>1.9287022406593335</v>
      </c>
      <c r="T74" s="2">
        <v>76586</v>
      </c>
      <c r="U74" s="6">
        <v>2064.96</v>
      </c>
      <c r="V74" s="2">
        <v>28713</v>
      </c>
      <c r="W74" s="7">
        <f t="shared" si="4"/>
        <v>7.191725002612058E-2</v>
      </c>
      <c r="X74" s="5">
        <v>9416</v>
      </c>
      <c r="Y74" s="6">
        <v>1681.81</v>
      </c>
      <c r="Z74" s="2">
        <v>1319810</v>
      </c>
      <c r="AA74" s="7">
        <f t="shared" si="5"/>
        <v>1.2742819042134852</v>
      </c>
      <c r="AB74" s="5">
        <v>3226</v>
      </c>
    </row>
    <row r="75" spans="1:28" ht="12" customHeight="1" x14ac:dyDescent="0.3">
      <c r="A75" s="1">
        <v>45075</v>
      </c>
      <c r="B75" s="1">
        <v>45081</v>
      </c>
      <c r="C75" s="2">
        <v>22</v>
      </c>
      <c r="D75" s="2">
        <v>2023</v>
      </c>
      <c r="E75" s="6">
        <v>79800.67</v>
      </c>
      <c r="F75" s="2">
        <v>107642</v>
      </c>
      <c r="G75" s="2">
        <v>148365</v>
      </c>
      <c r="H75" s="2">
        <f t="shared" si="0"/>
        <v>256007</v>
      </c>
      <c r="I75" s="6">
        <v>13436.54</v>
      </c>
      <c r="J75" s="2">
        <v>51546</v>
      </c>
      <c r="K75" s="4">
        <f t="shared" si="1"/>
        <v>0.26067085709851395</v>
      </c>
      <c r="L75" s="2">
        <v>38350</v>
      </c>
      <c r="M75" s="6">
        <v>32283.279999999999</v>
      </c>
      <c r="N75" s="2">
        <v>42081</v>
      </c>
      <c r="O75" s="4">
        <f t="shared" si="2"/>
        <v>0.76716998170195572</v>
      </c>
      <c r="P75" s="2">
        <v>34508</v>
      </c>
      <c r="Q75" s="6">
        <v>30413.57</v>
      </c>
      <c r="R75" s="2">
        <v>18049812</v>
      </c>
      <c r="S75" s="4">
        <f t="shared" si="3"/>
        <v>1.6849798767987167</v>
      </c>
      <c r="T75" s="2">
        <v>72423</v>
      </c>
      <c r="U75" s="6">
        <v>2113.2800000000002</v>
      </c>
      <c r="V75" s="2">
        <v>24339</v>
      </c>
      <c r="W75" s="7">
        <f t="shared" si="4"/>
        <v>8.6826903323883486E-2</v>
      </c>
      <c r="X75" s="5">
        <v>11653</v>
      </c>
      <c r="Y75" s="6">
        <v>1554</v>
      </c>
      <c r="Z75" s="2">
        <v>1207891</v>
      </c>
      <c r="AA75" s="7">
        <f t="shared" si="5"/>
        <v>1.286539927857729</v>
      </c>
      <c r="AB75" s="5">
        <v>3084</v>
      </c>
    </row>
    <row r="76" spans="1:28" ht="12" customHeight="1" x14ac:dyDescent="0.3">
      <c r="A76" s="1">
        <v>45082</v>
      </c>
      <c r="B76" s="1">
        <v>45088</v>
      </c>
      <c r="C76" s="2">
        <v>23</v>
      </c>
      <c r="D76" s="2">
        <v>2023</v>
      </c>
      <c r="E76" s="6">
        <v>77756.280000000013</v>
      </c>
      <c r="F76" s="2">
        <v>121219</v>
      </c>
      <c r="G76" s="2">
        <v>150493</v>
      </c>
      <c r="H76" s="2">
        <f t="shared" si="0"/>
        <v>271712</v>
      </c>
      <c r="I76" s="6">
        <v>12732.7</v>
      </c>
      <c r="J76" s="2">
        <v>51304</v>
      </c>
      <c r="K76" s="4">
        <f t="shared" si="1"/>
        <v>0.24818142834866677</v>
      </c>
      <c r="L76" s="2">
        <v>38619</v>
      </c>
      <c r="M76" s="6">
        <v>30391.56</v>
      </c>
      <c r="N76" s="2">
        <v>40569</v>
      </c>
      <c r="O76" s="4">
        <f t="shared" si="2"/>
        <v>0.74913258892257639</v>
      </c>
      <c r="P76" s="2">
        <v>33798</v>
      </c>
      <c r="Q76" s="6">
        <v>30971</v>
      </c>
      <c r="R76" s="2">
        <v>18669708</v>
      </c>
      <c r="S76" s="4">
        <f t="shared" si="3"/>
        <v>1.6588904336372052</v>
      </c>
      <c r="T76" s="2">
        <v>75414</v>
      </c>
      <c r="U76" s="6">
        <v>2121.02</v>
      </c>
      <c r="V76" s="2">
        <v>24161</v>
      </c>
      <c r="W76" s="7">
        <f t="shared" si="4"/>
        <v>8.7786929348950785E-2</v>
      </c>
      <c r="X76" s="5">
        <v>11301</v>
      </c>
      <c r="Y76" s="6">
        <v>1540</v>
      </c>
      <c r="Z76" s="2">
        <v>1229335</v>
      </c>
      <c r="AA76" s="7">
        <f t="shared" si="5"/>
        <v>1.2527097983869329</v>
      </c>
      <c r="AB76" s="5">
        <v>2662</v>
      </c>
    </row>
    <row r="77" spans="1:28" ht="12" customHeight="1" x14ac:dyDescent="0.3">
      <c r="A77" s="1">
        <v>45089</v>
      </c>
      <c r="B77" s="1">
        <v>45095</v>
      </c>
      <c r="C77" s="2">
        <v>24</v>
      </c>
      <c r="D77" s="2">
        <v>2023</v>
      </c>
      <c r="E77" s="6">
        <v>69809.8</v>
      </c>
      <c r="F77" s="2">
        <v>130241</v>
      </c>
      <c r="G77" s="2">
        <v>134985</v>
      </c>
      <c r="H77" s="2">
        <f t="shared" si="0"/>
        <v>265226</v>
      </c>
      <c r="I77" s="6">
        <v>11829.68</v>
      </c>
      <c r="J77" s="2">
        <v>52570</v>
      </c>
      <c r="K77" s="4">
        <f t="shared" si="1"/>
        <v>0.22502720182613659</v>
      </c>
      <c r="L77" s="2">
        <v>39232</v>
      </c>
      <c r="M77" s="6">
        <v>26984.26</v>
      </c>
      <c r="N77" s="2">
        <v>35843</v>
      </c>
      <c r="O77" s="4">
        <f t="shared" si="2"/>
        <v>0.75284602293334812</v>
      </c>
      <c r="P77" s="2">
        <v>27522</v>
      </c>
      <c r="Q77" s="6">
        <v>27361</v>
      </c>
      <c r="R77" s="2">
        <v>16414245</v>
      </c>
      <c r="S77" s="4">
        <f t="shared" si="3"/>
        <v>1.6669057882345488</v>
      </c>
      <c r="T77" s="2">
        <v>65888</v>
      </c>
      <c r="U77" s="6">
        <v>2094.86</v>
      </c>
      <c r="V77" s="2">
        <v>20702</v>
      </c>
      <c r="W77" s="7">
        <f t="shared" si="4"/>
        <v>0.10119118925707661</v>
      </c>
      <c r="X77" s="5">
        <v>9326</v>
      </c>
      <c r="Y77" s="6">
        <v>1540</v>
      </c>
      <c r="Z77" s="2">
        <v>1164429</v>
      </c>
      <c r="AA77" s="7">
        <f t="shared" si="5"/>
        <v>1.3225366252472242</v>
      </c>
      <c r="AB77" s="5">
        <v>2343</v>
      </c>
    </row>
    <row r="78" spans="1:28" ht="12" customHeight="1" x14ac:dyDescent="0.3">
      <c r="A78" s="1">
        <v>45096</v>
      </c>
      <c r="B78" s="1">
        <v>45102</v>
      </c>
      <c r="C78" s="2">
        <v>25</v>
      </c>
      <c r="D78" s="2">
        <v>2023</v>
      </c>
      <c r="E78" s="6">
        <v>68217.53</v>
      </c>
      <c r="F78" s="2">
        <v>153210</v>
      </c>
      <c r="G78" s="2">
        <v>145855</v>
      </c>
      <c r="H78" s="2">
        <f t="shared" si="0"/>
        <v>299065</v>
      </c>
      <c r="I78" s="6">
        <v>11238.14</v>
      </c>
      <c r="J78" s="2">
        <v>55467</v>
      </c>
      <c r="K78" s="4">
        <f t="shared" si="1"/>
        <v>0.20260947951033947</v>
      </c>
      <c r="L78" s="2">
        <v>42982</v>
      </c>
      <c r="M78" s="6">
        <v>28144.84</v>
      </c>
      <c r="N78" s="2">
        <v>38211</v>
      </c>
      <c r="O78" s="4">
        <f t="shared" si="2"/>
        <v>0.73656381670199678</v>
      </c>
      <c r="P78" s="2">
        <v>31284</v>
      </c>
      <c r="Q78" s="6">
        <v>25107</v>
      </c>
      <c r="R78" s="2">
        <v>14532375</v>
      </c>
      <c r="S78" s="4">
        <f t="shared" si="3"/>
        <v>1.7276597940804583</v>
      </c>
      <c r="T78" s="2">
        <v>69543</v>
      </c>
      <c r="U78" s="6">
        <v>2187.5500000000002</v>
      </c>
      <c r="V78" s="2">
        <v>22949</v>
      </c>
      <c r="W78" s="7">
        <f t="shared" si="4"/>
        <v>9.5322236263018001E-2</v>
      </c>
      <c r="X78" s="5">
        <v>9502</v>
      </c>
      <c r="Y78" s="6">
        <v>1540</v>
      </c>
      <c r="Z78" s="2">
        <v>950444</v>
      </c>
      <c r="AA78" s="7">
        <f t="shared" si="5"/>
        <v>1.6202953566964491</v>
      </c>
      <c r="AB78" s="5">
        <v>2046</v>
      </c>
    </row>
    <row r="79" spans="1:28" ht="12" customHeight="1" x14ac:dyDescent="0.3">
      <c r="A79" s="1">
        <v>45103</v>
      </c>
      <c r="B79" s="1">
        <v>45109</v>
      </c>
      <c r="C79" s="2">
        <v>26</v>
      </c>
      <c r="D79" s="2">
        <v>2023</v>
      </c>
      <c r="E79" s="6">
        <v>60069.3</v>
      </c>
      <c r="F79" s="2">
        <v>145150</v>
      </c>
      <c r="G79" s="2">
        <v>136588</v>
      </c>
      <c r="H79" s="2">
        <f t="shared" si="0"/>
        <v>281738</v>
      </c>
      <c r="I79" s="6">
        <v>11225.06</v>
      </c>
      <c r="J79" s="2">
        <v>54015</v>
      </c>
      <c r="K79" s="4">
        <f t="shared" si="1"/>
        <v>0.20781375543830416</v>
      </c>
      <c r="L79" s="2">
        <v>41796</v>
      </c>
      <c r="M79" s="6">
        <v>23184.86</v>
      </c>
      <c r="N79" s="2">
        <v>32524</v>
      </c>
      <c r="O79" s="4">
        <f t="shared" si="2"/>
        <v>0.71285389251014641</v>
      </c>
      <c r="P79" s="2">
        <v>28129</v>
      </c>
      <c r="Q79" s="6">
        <v>22069</v>
      </c>
      <c r="R79" s="2">
        <v>12985744</v>
      </c>
      <c r="S79" s="4">
        <f t="shared" si="3"/>
        <v>1.6994790594978615</v>
      </c>
      <c r="T79" s="2">
        <v>64682</v>
      </c>
      <c r="U79" s="6">
        <v>2050.38</v>
      </c>
      <c r="V79" s="2">
        <v>24094</v>
      </c>
      <c r="W79" s="7">
        <f t="shared" si="4"/>
        <v>8.5099194820287216E-2</v>
      </c>
      <c r="X79" s="5">
        <v>8752</v>
      </c>
      <c r="Y79" s="6">
        <v>1540</v>
      </c>
      <c r="Z79" s="2">
        <v>1027483</v>
      </c>
      <c r="AA79" s="7">
        <f t="shared" si="5"/>
        <v>1.4988082527886106</v>
      </c>
      <c r="AB79" s="5">
        <v>1981</v>
      </c>
    </row>
    <row r="80" spans="1:28" ht="12" customHeight="1" x14ac:dyDescent="0.3">
      <c r="A80" s="1">
        <v>45110</v>
      </c>
      <c r="B80" s="1">
        <v>45116</v>
      </c>
      <c r="C80" s="2">
        <v>27</v>
      </c>
      <c r="D80" s="2">
        <v>2023</v>
      </c>
      <c r="E80" s="6">
        <v>57618.44</v>
      </c>
      <c r="F80" s="2">
        <v>147333</v>
      </c>
      <c r="G80" s="2">
        <v>134234</v>
      </c>
      <c r="H80" s="2">
        <f t="shared" si="0"/>
        <v>281567</v>
      </c>
      <c r="I80" s="6">
        <v>11061.48</v>
      </c>
      <c r="J80" s="2">
        <v>57944</v>
      </c>
      <c r="K80" s="4">
        <f t="shared" si="1"/>
        <v>0.19089948916194946</v>
      </c>
      <c r="L80" s="2">
        <v>44928</v>
      </c>
      <c r="M80" s="6">
        <v>23952.31</v>
      </c>
      <c r="N80" s="2">
        <v>31421</v>
      </c>
      <c r="O80" s="4">
        <f t="shared" si="2"/>
        <v>0.76230260017185958</v>
      </c>
      <c r="P80" s="2">
        <v>27506</v>
      </c>
      <c r="Q80" s="6">
        <v>19031</v>
      </c>
      <c r="R80" s="2">
        <v>11676452</v>
      </c>
      <c r="S80" s="4">
        <f t="shared" si="3"/>
        <v>1.629861536706527</v>
      </c>
      <c r="T80" s="2">
        <v>59462</v>
      </c>
      <c r="U80" s="6">
        <v>1903.65</v>
      </c>
      <c r="V80" s="2">
        <v>23798</v>
      </c>
      <c r="W80" s="7">
        <f t="shared" si="4"/>
        <v>7.9992016135809738E-2</v>
      </c>
      <c r="X80" s="5">
        <v>8610</v>
      </c>
      <c r="Y80" s="6">
        <v>1670</v>
      </c>
      <c r="Z80" s="2">
        <v>1216331</v>
      </c>
      <c r="AA80" s="7">
        <f t="shared" si="5"/>
        <v>1.3729815321651755</v>
      </c>
      <c r="AB80" s="5">
        <v>2338</v>
      </c>
    </row>
    <row r="81" spans="1:28" ht="12" customHeight="1" x14ac:dyDescent="0.3">
      <c r="A81" s="1">
        <v>45117</v>
      </c>
      <c r="B81" s="1">
        <v>45123</v>
      </c>
      <c r="C81" s="2">
        <v>28</v>
      </c>
      <c r="D81" s="2">
        <v>2023</v>
      </c>
      <c r="E81" s="6">
        <v>55655.48</v>
      </c>
      <c r="F81" s="2">
        <v>140492</v>
      </c>
      <c r="G81" s="2">
        <v>135558</v>
      </c>
      <c r="H81" s="2">
        <f t="shared" si="0"/>
        <v>276050</v>
      </c>
      <c r="I81" s="6">
        <v>10126.01</v>
      </c>
      <c r="J81" s="2">
        <v>55590</v>
      </c>
      <c r="K81" s="4">
        <f t="shared" si="1"/>
        <v>0.18215524374887571</v>
      </c>
      <c r="L81" s="2">
        <v>42894</v>
      </c>
      <c r="M81" s="6">
        <v>23854.799999999999</v>
      </c>
      <c r="N81" s="2">
        <v>30678</v>
      </c>
      <c r="O81" s="4">
        <f t="shared" si="2"/>
        <v>0.77758654410326611</v>
      </c>
      <c r="P81" s="2">
        <v>26677</v>
      </c>
      <c r="Q81" s="6">
        <v>18244</v>
      </c>
      <c r="R81" s="2">
        <v>11357707</v>
      </c>
      <c r="S81" s="4">
        <f t="shared" si="3"/>
        <v>1.6063101469337078</v>
      </c>
      <c r="T81" s="2">
        <v>62209</v>
      </c>
      <c r="U81" s="6">
        <v>1750.67</v>
      </c>
      <c r="V81" s="2">
        <v>22019</v>
      </c>
      <c r="W81" s="7">
        <f t="shared" si="4"/>
        <v>7.9507243744039238E-2</v>
      </c>
      <c r="X81" s="5">
        <v>10583</v>
      </c>
      <c r="Y81" s="6">
        <v>1680</v>
      </c>
      <c r="Z81" s="2">
        <v>1228592</v>
      </c>
      <c r="AA81" s="7">
        <f t="shared" si="5"/>
        <v>1.3674189641475771</v>
      </c>
      <c r="AB81" s="5">
        <v>3778</v>
      </c>
    </row>
    <row r="82" spans="1:28" ht="12" customHeight="1" x14ac:dyDescent="0.3">
      <c r="A82" s="1">
        <v>45124</v>
      </c>
      <c r="B82" s="1">
        <v>45130</v>
      </c>
      <c r="C82" s="2">
        <v>29</v>
      </c>
      <c r="D82" s="2">
        <v>2023</v>
      </c>
      <c r="E82" s="6">
        <v>52836.78</v>
      </c>
      <c r="F82" s="2">
        <v>136249</v>
      </c>
      <c r="G82" s="2">
        <v>137716</v>
      </c>
      <c r="H82" s="2">
        <f t="shared" si="0"/>
        <v>273965</v>
      </c>
      <c r="I82" s="6">
        <v>10566.26</v>
      </c>
      <c r="J82" s="2">
        <v>56058</v>
      </c>
      <c r="K82" s="4">
        <f t="shared" si="1"/>
        <v>0.18848799457704521</v>
      </c>
      <c r="L82" s="2">
        <v>43420</v>
      </c>
      <c r="M82" s="6">
        <v>20988.42</v>
      </c>
      <c r="N82" s="2">
        <v>28719</v>
      </c>
      <c r="O82" s="4">
        <f t="shared" si="2"/>
        <v>0.73082001462446455</v>
      </c>
      <c r="P82" s="2">
        <v>26976</v>
      </c>
      <c r="Q82" s="6">
        <v>17801</v>
      </c>
      <c r="R82" s="2">
        <v>11647007</v>
      </c>
      <c r="S82" s="4">
        <f t="shared" si="3"/>
        <v>1.5283754873676989</v>
      </c>
      <c r="T82" s="2">
        <v>64242</v>
      </c>
      <c r="U82" s="6">
        <v>1801.1</v>
      </c>
      <c r="V82" s="2">
        <v>20194</v>
      </c>
      <c r="W82" s="7">
        <f t="shared" si="4"/>
        <v>8.9189858373774383E-2</v>
      </c>
      <c r="X82" s="5">
        <v>10789</v>
      </c>
      <c r="Y82" s="6">
        <v>1680</v>
      </c>
      <c r="Z82" s="2">
        <v>1208037</v>
      </c>
      <c r="AA82" s="7">
        <f t="shared" si="5"/>
        <v>1.3906858813099268</v>
      </c>
      <c r="AB82" s="5">
        <v>3078</v>
      </c>
    </row>
    <row r="83" spans="1:28" ht="12" customHeight="1" x14ac:dyDescent="0.3">
      <c r="A83" s="1">
        <v>45131</v>
      </c>
      <c r="B83" s="1">
        <v>45137</v>
      </c>
      <c r="C83" s="2">
        <v>30</v>
      </c>
      <c r="D83" s="2">
        <v>2023</v>
      </c>
      <c r="E83" s="6">
        <v>49251.960000000006</v>
      </c>
      <c r="F83" s="2">
        <v>146057</v>
      </c>
      <c r="G83" s="2">
        <v>141052</v>
      </c>
      <c r="H83" s="2">
        <f t="shared" si="0"/>
        <v>287109</v>
      </c>
      <c r="I83" s="6">
        <v>8252.3700000000008</v>
      </c>
      <c r="J83" s="2">
        <v>58215</v>
      </c>
      <c r="K83" s="4">
        <f t="shared" si="1"/>
        <v>0.14175676372069057</v>
      </c>
      <c r="L83" s="2">
        <v>46084</v>
      </c>
      <c r="M83" s="6">
        <v>19999.97</v>
      </c>
      <c r="N83" s="2">
        <v>30209</v>
      </c>
      <c r="O83" s="4">
        <f t="shared" si="2"/>
        <v>0.66205336158098582</v>
      </c>
      <c r="P83" s="2">
        <v>27631</v>
      </c>
      <c r="Q83" s="6">
        <v>17360</v>
      </c>
      <c r="R83" s="2">
        <v>11853728</v>
      </c>
      <c r="S83" s="4">
        <f t="shared" si="3"/>
        <v>1.4645181667741995</v>
      </c>
      <c r="T83" s="2">
        <v>64337</v>
      </c>
      <c r="U83" s="6">
        <v>1994.62</v>
      </c>
      <c r="V83" s="2">
        <v>21552</v>
      </c>
      <c r="W83" s="7">
        <f t="shared" si="4"/>
        <v>9.2549183370452856E-2</v>
      </c>
      <c r="X83" s="5">
        <v>11733</v>
      </c>
      <c r="Y83" s="6">
        <v>1645</v>
      </c>
      <c r="Z83" s="2">
        <v>1232546</v>
      </c>
      <c r="AA83" s="7">
        <f t="shared" si="5"/>
        <v>1.3346357864128398</v>
      </c>
      <c r="AB83" s="5">
        <v>3000</v>
      </c>
    </row>
    <row r="84" spans="1:28" ht="12" customHeight="1" x14ac:dyDescent="0.3">
      <c r="A84" s="1">
        <v>45138</v>
      </c>
      <c r="B84" s="1">
        <v>45144</v>
      </c>
      <c r="C84" s="2">
        <v>31</v>
      </c>
      <c r="D84" s="2">
        <v>2023</v>
      </c>
      <c r="E84" s="6">
        <v>36367.32</v>
      </c>
      <c r="F84" s="2">
        <v>159039</v>
      </c>
      <c r="G84" s="2">
        <v>142221</v>
      </c>
      <c r="H84" s="2">
        <f t="shared" si="0"/>
        <v>301260</v>
      </c>
      <c r="I84" s="6">
        <v>6108.8</v>
      </c>
      <c r="J84" s="2">
        <v>61901</v>
      </c>
      <c r="K84" s="4">
        <f t="shared" si="1"/>
        <v>9.8686612494143872E-2</v>
      </c>
      <c r="L84" s="2">
        <v>49756</v>
      </c>
      <c r="M84" s="6">
        <v>16610.02</v>
      </c>
      <c r="N84" s="2">
        <v>30522</v>
      </c>
      <c r="O84" s="4">
        <f t="shared" si="2"/>
        <v>0.54419828320555663</v>
      </c>
      <c r="P84" s="2">
        <v>28373</v>
      </c>
      <c r="Q84" s="6">
        <v>12135</v>
      </c>
      <c r="R84" s="2">
        <v>9774531</v>
      </c>
      <c r="S84" s="4">
        <f t="shared" si="3"/>
        <v>1.241491791268553</v>
      </c>
      <c r="T84" s="2">
        <v>61926</v>
      </c>
      <c r="U84" s="6">
        <v>785.5</v>
      </c>
      <c r="V84" s="2">
        <v>11545</v>
      </c>
      <c r="W84" s="7">
        <f t="shared" si="4"/>
        <v>6.8038111736682547E-2</v>
      </c>
      <c r="X84" s="5">
        <v>5305</v>
      </c>
      <c r="Y84" s="6">
        <v>728</v>
      </c>
      <c r="Z84" s="2">
        <v>641541</v>
      </c>
      <c r="AA84" s="7">
        <f t="shared" si="5"/>
        <v>1.1347676921662062</v>
      </c>
      <c r="AB84" s="5">
        <v>2166</v>
      </c>
    </row>
    <row r="85" spans="1:28" ht="12" customHeight="1" x14ac:dyDescent="0.3">
      <c r="A85" s="1">
        <v>45145</v>
      </c>
      <c r="B85" s="1">
        <v>45151</v>
      </c>
      <c r="C85" s="2">
        <v>32</v>
      </c>
      <c r="D85" s="2">
        <v>2023</v>
      </c>
      <c r="E85" s="6">
        <v>21708.85</v>
      </c>
      <c r="F85" s="2">
        <v>145105</v>
      </c>
      <c r="G85" s="2">
        <v>108849</v>
      </c>
      <c r="H85" s="2">
        <f t="shared" si="0"/>
        <v>253954</v>
      </c>
      <c r="I85" s="6">
        <v>4833.54</v>
      </c>
      <c r="J85" s="2">
        <v>57503</v>
      </c>
      <c r="K85" s="4">
        <f t="shared" si="1"/>
        <v>8.4057179625410844E-2</v>
      </c>
      <c r="L85" s="2">
        <v>45093</v>
      </c>
      <c r="M85" s="6">
        <v>9053.31</v>
      </c>
      <c r="N85" s="2">
        <v>21390</v>
      </c>
      <c r="O85" s="4">
        <f t="shared" si="2"/>
        <v>0.42324964936886394</v>
      </c>
      <c r="P85" s="2">
        <v>19420</v>
      </c>
      <c r="Q85" s="6">
        <v>7472</v>
      </c>
      <c r="R85" s="2">
        <v>6111799</v>
      </c>
      <c r="S85" s="4">
        <f t="shared" si="3"/>
        <v>1.2225532940464827</v>
      </c>
      <c r="T85" s="2">
        <v>43061</v>
      </c>
      <c r="U85" s="6">
        <v>0</v>
      </c>
      <c r="V85" s="2">
        <v>0</v>
      </c>
      <c r="W85" s="7" t="str">
        <f t="shared" si="4"/>
        <v>-</v>
      </c>
      <c r="X85" s="5">
        <v>429</v>
      </c>
      <c r="Y85" s="6">
        <v>350</v>
      </c>
      <c r="Z85" s="2">
        <v>317911</v>
      </c>
      <c r="AA85" s="7">
        <f t="shared" si="5"/>
        <v>1.1009370547102806</v>
      </c>
      <c r="AB85" s="5">
        <v>1275</v>
      </c>
    </row>
    <row r="86" spans="1:28" ht="12" customHeight="1" x14ac:dyDescent="0.3">
      <c r="A86" s="1">
        <v>45152</v>
      </c>
      <c r="B86" s="1">
        <v>45158</v>
      </c>
      <c r="C86" s="2">
        <v>33</v>
      </c>
      <c r="D86" s="2">
        <v>2023</v>
      </c>
      <c r="E86" s="6">
        <v>12467.87</v>
      </c>
      <c r="F86" s="2">
        <v>131518</v>
      </c>
      <c r="G86" s="2">
        <v>78796</v>
      </c>
      <c r="H86" s="2">
        <f t="shared" si="0"/>
        <v>210314</v>
      </c>
      <c r="I86" s="6">
        <v>3506.41</v>
      </c>
      <c r="J86" s="2">
        <v>52713</v>
      </c>
      <c r="K86" s="4">
        <f t="shared" si="1"/>
        <v>6.6518885284464924E-2</v>
      </c>
      <c r="L86" s="2">
        <v>41954</v>
      </c>
      <c r="M86" s="6">
        <v>3319.46</v>
      </c>
      <c r="N86" s="2">
        <v>8115</v>
      </c>
      <c r="O86" s="4">
        <f t="shared" si="2"/>
        <v>0.40905237215033891</v>
      </c>
      <c r="P86" s="2">
        <v>8239</v>
      </c>
      <c r="Q86" s="6">
        <v>5292</v>
      </c>
      <c r="R86" s="2">
        <v>5212860</v>
      </c>
      <c r="S86" s="4">
        <f t="shared" si="3"/>
        <v>1.0151816852936775</v>
      </c>
      <c r="T86" s="2">
        <v>27313</v>
      </c>
      <c r="U86" s="6">
        <v>0</v>
      </c>
      <c r="V86" s="2">
        <v>0</v>
      </c>
      <c r="W86" s="7" t="str">
        <f t="shared" si="4"/>
        <v>-</v>
      </c>
      <c r="X86" s="5">
        <v>240</v>
      </c>
      <c r="Y86" s="6">
        <v>350</v>
      </c>
      <c r="Z86" s="2">
        <v>308151</v>
      </c>
      <c r="AA86" s="7">
        <f t="shared" si="5"/>
        <v>1.1358067960188349</v>
      </c>
      <c r="AB86" s="5">
        <v>1290</v>
      </c>
    </row>
    <row r="87" spans="1:28" ht="12" customHeight="1" x14ac:dyDescent="0.3">
      <c r="A87" s="1">
        <v>45159</v>
      </c>
      <c r="B87" s="1">
        <v>45165</v>
      </c>
      <c r="C87" s="2">
        <v>34</v>
      </c>
      <c r="D87" s="2">
        <v>2023</v>
      </c>
      <c r="E87" s="6">
        <v>22669.89</v>
      </c>
      <c r="F87" s="2">
        <v>145295</v>
      </c>
      <c r="G87" s="2">
        <v>107613</v>
      </c>
      <c r="H87" s="2">
        <f t="shared" si="0"/>
        <v>252908</v>
      </c>
      <c r="I87" s="6">
        <v>3312.82</v>
      </c>
      <c r="J87" s="2">
        <v>54621</v>
      </c>
      <c r="K87" s="4">
        <f t="shared" si="1"/>
        <v>6.0651031654491865E-2</v>
      </c>
      <c r="L87" s="2">
        <v>43342</v>
      </c>
      <c r="M87" s="6">
        <v>9454.07</v>
      </c>
      <c r="N87" s="2">
        <v>24407</v>
      </c>
      <c r="O87" s="4">
        <f t="shared" si="2"/>
        <v>0.38735076002786084</v>
      </c>
      <c r="P87" s="2">
        <v>21672</v>
      </c>
      <c r="Q87" s="6">
        <v>9554</v>
      </c>
      <c r="R87" s="2">
        <v>8727794</v>
      </c>
      <c r="S87" s="4">
        <f t="shared" si="3"/>
        <v>1.0946637833111095</v>
      </c>
      <c r="T87" s="2">
        <v>41549</v>
      </c>
      <c r="U87" s="6">
        <v>0</v>
      </c>
      <c r="V87" s="2">
        <v>0</v>
      </c>
      <c r="W87" s="7" t="str">
        <f t="shared" si="4"/>
        <v>-</v>
      </c>
      <c r="X87" s="5">
        <v>253</v>
      </c>
      <c r="Y87" s="6">
        <v>349</v>
      </c>
      <c r="Z87" s="2">
        <v>304167</v>
      </c>
      <c r="AA87" s="7">
        <f t="shared" si="5"/>
        <v>1.1473960028536956</v>
      </c>
      <c r="AB87" s="5">
        <v>1050</v>
      </c>
    </row>
    <row r="88" spans="1:28" ht="12" customHeight="1" x14ac:dyDescent="0.3">
      <c r="A88" s="1">
        <v>45166</v>
      </c>
      <c r="B88" s="1">
        <v>45172</v>
      </c>
      <c r="C88" s="2">
        <v>35</v>
      </c>
      <c r="D88" s="2">
        <v>2023</v>
      </c>
      <c r="E88" s="6">
        <v>27137.919999999998</v>
      </c>
      <c r="F88" s="2">
        <v>131862</v>
      </c>
      <c r="G88" s="2">
        <v>117203</v>
      </c>
      <c r="H88" s="2">
        <f t="shared" si="0"/>
        <v>249065</v>
      </c>
      <c r="I88" s="6">
        <v>3395.87</v>
      </c>
      <c r="J88" s="2">
        <v>47314</v>
      </c>
      <c r="K88" s="4">
        <f t="shared" si="1"/>
        <v>7.1773048146426002E-2</v>
      </c>
      <c r="L88" s="2">
        <v>38116</v>
      </c>
      <c r="M88" s="6">
        <v>11664.05</v>
      </c>
      <c r="N88" s="2">
        <v>25529</v>
      </c>
      <c r="O88" s="4">
        <f t="shared" si="2"/>
        <v>0.45689412041208033</v>
      </c>
      <c r="P88" s="2">
        <v>22409</v>
      </c>
      <c r="Q88" s="6">
        <v>11728</v>
      </c>
      <c r="R88" s="2">
        <v>10478745</v>
      </c>
      <c r="S88" s="4">
        <f t="shared" si="3"/>
        <v>1.1192179979568164</v>
      </c>
      <c r="T88" s="2">
        <v>55838</v>
      </c>
      <c r="U88" s="6">
        <v>0</v>
      </c>
      <c r="V88" s="2">
        <v>0</v>
      </c>
      <c r="W88" s="7" t="str">
        <f t="shared" si="4"/>
        <v>-</v>
      </c>
      <c r="X88" s="5">
        <v>234</v>
      </c>
      <c r="Y88" s="6">
        <v>350</v>
      </c>
      <c r="Z88" s="2">
        <v>336192</v>
      </c>
      <c r="AA88" s="7">
        <f t="shared" si="5"/>
        <v>1.0410717685132305</v>
      </c>
      <c r="AB88" s="5">
        <v>840</v>
      </c>
    </row>
    <row r="89" spans="1:28" ht="12" customHeight="1" x14ac:dyDescent="0.3">
      <c r="A89" s="1">
        <v>45173</v>
      </c>
      <c r="B89" s="1">
        <v>45179</v>
      </c>
      <c r="C89" s="2">
        <v>36</v>
      </c>
      <c r="D89" s="2">
        <v>2023</v>
      </c>
      <c r="E89" s="6">
        <v>34131.32</v>
      </c>
      <c r="F89" s="2">
        <v>121203</v>
      </c>
      <c r="G89" s="2">
        <v>119377</v>
      </c>
      <c r="H89" s="2">
        <f t="shared" si="0"/>
        <v>240580</v>
      </c>
      <c r="I89" s="6">
        <v>3214.5</v>
      </c>
      <c r="J89" s="2">
        <v>40698</v>
      </c>
      <c r="K89" s="4">
        <f t="shared" si="1"/>
        <v>7.8984225269054992E-2</v>
      </c>
      <c r="L89" s="2">
        <v>33414</v>
      </c>
      <c r="M89" s="6">
        <v>14110.39</v>
      </c>
      <c r="N89" s="2">
        <v>28001</v>
      </c>
      <c r="O89" s="4">
        <f t="shared" si="2"/>
        <v>0.50392450269633227</v>
      </c>
      <c r="P89" s="2">
        <v>25298</v>
      </c>
      <c r="Q89" s="6">
        <v>15604</v>
      </c>
      <c r="R89" s="2">
        <v>12016611</v>
      </c>
      <c r="S89" s="4">
        <f t="shared" si="3"/>
        <v>1.2985358351035914</v>
      </c>
      <c r="T89" s="2">
        <v>59416</v>
      </c>
      <c r="U89" s="6">
        <v>220.43</v>
      </c>
      <c r="V89" s="2">
        <v>1241</v>
      </c>
      <c r="W89" s="7">
        <f t="shared" si="4"/>
        <v>0.17762288477034649</v>
      </c>
      <c r="X89" s="5">
        <v>717</v>
      </c>
      <c r="Y89" s="6">
        <v>982</v>
      </c>
      <c r="Z89" s="2">
        <v>1304666</v>
      </c>
      <c r="AA89" s="7">
        <f t="shared" si="5"/>
        <v>0.752683062178366</v>
      </c>
      <c r="AB89" s="5">
        <v>1249</v>
      </c>
    </row>
    <row r="90" spans="1:28" ht="12" customHeight="1" x14ac:dyDescent="0.3">
      <c r="A90" s="1">
        <v>45180</v>
      </c>
      <c r="B90" s="1">
        <v>45186</v>
      </c>
      <c r="C90" s="2">
        <v>37</v>
      </c>
      <c r="D90" s="2">
        <v>2023</v>
      </c>
      <c r="E90" s="6">
        <v>44268.66</v>
      </c>
      <c r="F90" s="2">
        <v>132999</v>
      </c>
      <c r="G90" s="2">
        <v>119538</v>
      </c>
      <c r="H90" s="2">
        <f t="shared" si="0"/>
        <v>252537</v>
      </c>
      <c r="I90" s="6">
        <v>3396.18</v>
      </c>
      <c r="J90" s="2">
        <v>38472</v>
      </c>
      <c r="K90" s="4">
        <f t="shared" si="1"/>
        <v>8.8276668746101059E-2</v>
      </c>
      <c r="L90" s="2">
        <v>29548</v>
      </c>
      <c r="M90" s="6">
        <v>18143.62</v>
      </c>
      <c r="N90" s="2">
        <v>31560</v>
      </c>
      <c r="O90" s="4">
        <f t="shared" si="2"/>
        <v>0.57489290240811153</v>
      </c>
      <c r="P90" s="2">
        <v>25498</v>
      </c>
      <c r="Q90" s="6">
        <v>21306</v>
      </c>
      <c r="R90" s="2">
        <v>12754906</v>
      </c>
      <c r="S90" s="4">
        <f t="shared" si="3"/>
        <v>1.6704160736268854</v>
      </c>
      <c r="T90" s="2">
        <v>62765</v>
      </c>
      <c r="U90" s="6">
        <v>258.86</v>
      </c>
      <c r="V90" s="2">
        <v>1225</v>
      </c>
      <c r="W90" s="7">
        <f t="shared" si="4"/>
        <v>0.21131428571428573</v>
      </c>
      <c r="X90" s="5">
        <v>868</v>
      </c>
      <c r="Y90" s="6">
        <v>1164</v>
      </c>
      <c r="Z90" s="2">
        <v>1023023</v>
      </c>
      <c r="AA90" s="7">
        <f t="shared" si="5"/>
        <v>1.1378043308899215</v>
      </c>
      <c r="AB90" s="5">
        <v>1727</v>
      </c>
    </row>
    <row r="91" spans="1:28" ht="12" customHeight="1" x14ac:dyDescent="0.3">
      <c r="A91" s="1">
        <v>45187</v>
      </c>
      <c r="B91" s="1">
        <v>45193</v>
      </c>
      <c r="C91" s="2">
        <v>38</v>
      </c>
      <c r="D91" s="2">
        <v>2023</v>
      </c>
      <c r="E91" s="6">
        <v>43845.31</v>
      </c>
      <c r="F91" s="2">
        <v>115470</v>
      </c>
      <c r="G91" s="2">
        <v>119953</v>
      </c>
      <c r="H91" s="2">
        <f t="shared" si="0"/>
        <v>235423</v>
      </c>
      <c r="I91" s="6">
        <v>3273.3</v>
      </c>
      <c r="J91" s="2">
        <v>35819</v>
      </c>
      <c r="K91" s="4">
        <f t="shared" si="1"/>
        <v>9.1384460761048614E-2</v>
      </c>
      <c r="L91" s="2">
        <v>28309</v>
      </c>
      <c r="M91" s="6">
        <v>17241.330000000002</v>
      </c>
      <c r="N91" s="2">
        <v>27272</v>
      </c>
      <c r="O91" s="4">
        <f t="shared" si="2"/>
        <v>0.63219895863889708</v>
      </c>
      <c r="P91" s="2">
        <v>24412</v>
      </c>
      <c r="Q91" s="6">
        <v>22111.759999999998</v>
      </c>
      <c r="R91" s="2">
        <v>12699322</v>
      </c>
      <c r="S91" s="4">
        <f t="shared" si="3"/>
        <v>1.7411764187095971</v>
      </c>
      <c r="T91" s="2">
        <v>65446</v>
      </c>
      <c r="U91" s="6">
        <v>176.8</v>
      </c>
      <c r="V91" s="2">
        <v>1112</v>
      </c>
      <c r="W91" s="7">
        <f t="shared" si="4"/>
        <v>0.15899280575539571</v>
      </c>
      <c r="X91" s="5">
        <v>563</v>
      </c>
      <c r="Y91" s="6">
        <v>1042.1199999999999</v>
      </c>
      <c r="Z91" s="2">
        <v>860782</v>
      </c>
      <c r="AA91" s="7">
        <f t="shared" si="5"/>
        <v>1.2106665799238365</v>
      </c>
      <c r="AB91" s="5">
        <v>1786</v>
      </c>
    </row>
    <row r="92" spans="1:28" ht="12" customHeight="1" x14ac:dyDescent="0.3">
      <c r="A92" s="1">
        <v>45194</v>
      </c>
      <c r="B92" s="1">
        <v>45200</v>
      </c>
      <c r="C92" s="2">
        <v>39</v>
      </c>
      <c r="D92" s="2">
        <v>2023</v>
      </c>
      <c r="E92" s="6">
        <v>50738.079999999987</v>
      </c>
      <c r="F92" s="2">
        <v>119783</v>
      </c>
      <c r="G92" s="2">
        <v>112793</v>
      </c>
      <c r="H92" s="2">
        <f t="shared" si="0"/>
        <v>232576</v>
      </c>
      <c r="I92" s="6">
        <v>3177.29</v>
      </c>
      <c r="J92" s="2">
        <v>35422</v>
      </c>
      <c r="K92" s="4">
        <f t="shared" si="1"/>
        <v>8.9698210151883007E-2</v>
      </c>
      <c r="L92" s="2">
        <v>26712</v>
      </c>
      <c r="M92" s="6">
        <v>17747.96</v>
      </c>
      <c r="N92" s="2">
        <v>26790</v>
      </c>
      <c r="O92" s="4">
        <f t="shared" si="2"/>
        <v>0.6624845091452034</v>
      </c>
      <c r="P92" s="2">
        <v>22428</v>
      </c>
      <c r="Q92" s="6">
        <v>25923.53</v>
      </c>
      <c r="R92" s="2">
        <v>13727455</v>
      </c>
      <c r="S92" s="4">
        <f t="shared" si="3"/>
        <v>1.8884439978131415</v>
      </c>
      <c r="T92" s="2">
        <v>60784</v>
      </c>
      <c r="U92" s="6">
        <v>1817.2</v>
      </c>
      <c r="V92" s="2">
        <v>5393</v>
      </c>
      <c r="W92" s="7">
        <f t="shared" si="4"/>
        <v>0.33695531244205451</v>
      </c>
      <c r="X92" s="5">
        <v>2172</v>
      </c>
      <c r="Y92" s="6">
        <v>2072.1</v>
      </c>
      <c r="Z92" s="2">
        <v>1693052</v>
      </c>
      <c r="AA92" s="7">
        <f t="shared" si="5"/>
        <v>1.2238844406432878</v>
      </c>
      <c r="AB92" s="5">
        <v>2869</v>
      </c>
    </row>
    <row r="93" spans="1:28" ht="12" customHeight="1" x14ac:dyDescent="0.3">
      <c r="A93" s="1">
        <v>45201</v>
      </c>
      <c r="B93" s="1">
        <v>45207</v>
      </c>
      <c r="C93" s="2">
        <v>40</v>
      </c>
      <c r="D93" s="2">
        <v>2023</v>
      </c>
      <c r="E93" s="6">
        <v>57989.24</v>
      </c>
      <c r="F93" s="2">
        <v>107982</v>
      </c>
      <c r="G93" s="2">
        <v>117769</v>
      </c>
      <c r="H93" s="2">
        <f t="shared" si="0"/>
        <v>225751</v>
      </c>
      <c r="I93" s="6">
        <v>2907.03</v>
      </c>
      <c r="J93" s="2">
        <v>33258</v>
      </c>
      <c r="K93" s="4">
        <f t="shared" si="1"/>
        <v>8.740844308136389E-2</v>
      </c>
      <c r="L93" s="2">
        <v>25855</v>
      </c>
      <c r="M93" s="6">
        <v>19801.82</v>
      </c>
      <c r="N93" s="2">
        <v>26547</v>
      </c>
      <c r="O93" s="4">
        <f t="shared" si="2"/>
        <v>0.74591554601273213</v>
      </c>
      <c r="P93" s="2">
        <v>22574</v>
      </c>
      <c r="Q93" s="6">
        <v>30610</v>
      </c>
      <c r="R93" s="2">
        <v>17948069</v>
      </c>
      <c r="S93" s="4">
        <f t="shared" si="3"/>
        <v>1.7054759484153978</v>
      </c>
      <c r="T93" s="2">
        <v>66103</v>
      </c>
      <c r="U93" s="6">
        <v>1440.75</v>
      </c>
      <c r="V93" s="2">
        <v>15257</v>
      </c>
      <c r="W93" s="7">
        <f t="shared" si="4"/>
        <v>9.4432063970636429E-2</v>
      </c>
      <c r="X93" s="5">
        <v>3878</v>
      </c>
      <c r="Y93" s="6">
        <v>3229.64</v>
      </c>
      <c r="Z93" s="2">
        <v>2950305</v>
      </c>
      <c r="AA93" s="7">
        <f t="shared" si="5"/>
        <v>1.0946800415550257</v>
      </c>
      <c r="AB93" s="5">
        <v>3237</v>
      </c>
    </row>
    <row r="94" spans="1:28" ht="12" customHeight="1" x14ac:dyDescent="0.3">
      <c r="A94" s="1">
        <v>45208</v>
      </c>
      <c r="B94" s="1">
        <v>45214</v>
      </c>
      <c r="C94" s="2">
        <v>41</v>
      </c>
      <c r="D94" s="2">
        <v>2023</v>
      </c>
      <c r="E94" s="6">
        <v>70770.25</v>
      </c>
      <c r="F94" s="2">
        <v>106857</v>
      </c>
      <c r="G94" s="2">
        <v>131883</v>
      </c>
      <c r="H94" s="2">
        <f t="shared" si="0"/>
        <v>238740</v>
      </c>
      <c r="I94" s="6">
        <v>2572.86</v>
      </c>
      <c r="J94" s="2">
        <v>32448</v>
      </c>
      <c r="K94" s="4">
        <f t="shared" si="1"/>
        <v>7.9291789940828403E-2</v>
      </c>
      <c r="L94" s="2">
        <v>24979</v>
      </c>
      <c r="M94" s="6">
        <v>26252.89</v>
      </c>
      <c r="N94" s="2">
        <v>38703</v>
      </c>
      <c r="O94" s="4">
        <f t="shared" si="2"/>
        <v>0.67831666795855616</v>
      </c>
      <c r="P94" s="2">
        <v>27722</v>
      </c>
      <c r="Q94" s="6">
        <v>34809.39</v>
      </c>
      <c r="R94" s="2">
        <v>19053212</v>
      </c>
      <c r="S94" s="4">
        <f t="shared" si="3"/>
        <v>1.8269565257553424</v>
      </c>
      <c r="T94" s="2">
        <v>72567</v>
      </c>
      <c r="U94" s="6">
        <v>2819.09</v>
      </c>
      <c r="V94" s="2">
        <v>22485</v>
      </c>
      <c r="W94" s="7">
        <f t="shared" si="4"/>
        <v>0.12537647320435846</v>
      </c>
      <c r="X94" s="5">
        <v>5611</v>
      </c>
      <c r="Y94" s="6">
        <v>4316.0200000000004</v>
      </c>
      <c r="Z94" s="2">
        <v>3552017</v>
      </c>
      <c r="AA94" s="7">
        <f t="shared" si="5"/>
        <v>1.2150899052566473</v>
      </c>
      <c r="AB94" s="5">
        <v>6615</v>
      </c>
    </row>
    <row r="95" spans="1:28" ht="12" customHeight="1" x14ac:dyDescent="0.3">
      <c r="A95" s="1">
        <v>45215</v>
      </c>
      <c r="B95" s="1">
        <v>45221</v>
      </c>
      <c r="C95" s="2">
        <v>42</v>
      </c>
      <c r="D95" s="2">
        <v>2023</v>
      </c>
      <c r="E95" s="6">
        <v>71644.179999999993</v>
      </c>
      <c r="F95" s="2">
        <v>104124</v>
      </c>
      <c r="G95" s="2">
        <v>110334</v>
      </c>
      <c r="H95" s="2">
        <f t="shared" si="0"/>
        <v>214458</v>
      </c>
      <c r="I95" s="6">
        <v>2591.17</v>
      </c>
      <c r="J95" s="2">
        <v>29315</v>
      </c>
      <c r="K95" s="4">
        <f t="shared" si="1"/>
        <v>8.8390585024731363E-2</v>
      </c>
      <c r="L95" s="2">
        <v>22109</v>
      </c>
      <c r="M95" s="6">
        <v>30042.240000000002</v>
      </c>
      <c r="N95" s="2">
        <v>28150</v>
      </c>
      <c r="O95" s="4">
        <f t="shared" si="2"/>
        <v>1.0672198934280639</v>
      </c>
      <c r="P95" s="2">
        <v>23770</v>
      </c>
      <c r="Q95" s="6">
        <v>33220.92</v>
      </c>
      <c r="R95" s="2">
        <v>16153559</v>
      </c>
      <c r="S95" s="4">
        <f t="shared" si="3"/>
        <v>2.0565697008318726</v>
      </c>
      <c r="T95" s="2">
        <v>60541</v>
      </c>
      <c r="U95" s="6">
        <v>2625.81</v>
      </c>
      <c r="V95" s="2">
        <v>11289</v>
      </c>
      <c r="W95" s="7">
        <f t="shared" si="4"/>
        <v>0.23259899016741961</v>
      </c>
      <c r="X95" s="5">
        <v>4963</v>
      </c>
      <c r="Y95" s="6">
        <v>3164.04</v>
      </c>
      <c r="Z95" s="2">
        <v>2293390</v>
      </c>
      <c r="AA95" s="7">
        <f t="shared" si="5"/>
        <v>1.3796345148448368</v>
      </c>
      <c r="AB95" s="5">
        <v>3914</v>
      </c>
    </row>
    <row r="96" spans="1:28" ht="12" customHeight="1" x14ac:dyDescent="0.3">
      <c r="A96" s="1">
        <v>45222</v>
      </c>
      <c r="B96" s="1">
        <v>45228</v>
      </c>
      <c r="C96" s="2">
        <v>43</v>
      </c>
      <c r="D96" s="2">
        <v>2023</v>
      </c>
      <c r="E96" s="6">
        <v>68278.09</v>
      </c>
      <c r="F96" s="2">
        <v>104107</v>
      </c>
      <c r="G96" s="2">
        <v>128931</v>
      </c>
      <c r="H96" s="2">
        <f t="shared" si="0"/>
        <v>233038</v>
      </c>
      <c r="I96" s="6">
        <v>2794.02</v>
      </c>
      <c r="J96" s="2">
        <v>31176</v>
      </c>
      <c r="K96" s="4">
        <f t="shared" si="1"/>
        <v>8.9620862201693616E-2</v>
      </c>
      <c r="L96" s="2">
        <v>24165</v>
      </c>
      <c r="M96" s="6">
        <v>22936</v>
      </c>
      <c r="N96" s="2">
        <v>28102</v>
      </c>
      <c r="O96" s="4">
        <f t="shared" si="2"/>
        <v>0.81616966763931398</v>
      </c>
      <c r="P96" s="2">
        <v>24385</v>
      </c>
      <c r="Q96" s="6">
        <v>34126.879999999997</v>
      </c>
      <c r="R96" s="2">
        <v>16605365</v>
      </c>
      <c r="S96" s="4">
        <f t="shared" si="3"/>
        <v>2.0551719278678906</v>
      </c>
      <c r="T96" s="2">
        <v>76800</v>
      </c>
      <c r="U96" s="6">
        <v>4402.49</v>
      </c>
      <c r="V96" s="2">
        <v>23794</v>
      </c>
      <c r="W96" s="7">
        <f t="shared" si="4"/>
        <v>0.18502521644111961</v>
      </c>
      <c r="X96" s="5">
        <v>7476</v>
      </c>
      <c r="Y96" s="6">
        <v>4018.7</v>
      </c>
      <c r="Z96" s="2">
        <v>2685503</v>
      </c>
      <c r="AA96" s="7">
        <f t="shared" si="5"/>
        <v>1.4964421935108618</v>
      </c>
      <c r="AB96" s="5">
        <v>3581</v>
      </c>
    </row>
    <row r="97" spans="1:28" ht="12" customHeight="1" x14ac:dyDescent="0.3">
      <c r="A97" s="1">
        <v>45229</v>
      </c>
      <c r="B97" s="1">
        <v>45235</v>
      </c>
      <c r="C97" s="2">
        <v>44</v>
      </c>
      <c r="D97" s="2">
        <v>2023</v>
      </c>
      <c r="E97" s="6">
        <v>67247.98</v>
      </c>
      <c r="F97" s="2">
        <v>109074</v>
      </c>
      <c r="G97" s="2">
        <v>143580</v>
      </c>
      <c r="H97" s="2">
        <f t="shared" si="0"/>
        <v>252654</v>
      </c>
      <c r="I97" s="6">
        <v>2303.92</v>
      </c>
      <c r="J97" s="2">
        <v>33361</v>
      </c>
      <c r="K97" s="4">
        <f t="shared" si="1"/>
        <v>6.906027996762687E-2</v>
      </c>
      <c r="L97" s="2">
        <v>25634</v>
      </c>
      <c r="M97" s="6">
        <v>25335</v>
      </c>
      <c r="N97" s="2">
        <v>34599</v>
      </c>
      <c r="O97" s="4">
        <f t="shared" si="2"/>
        <v>0.73224659672244863</v>
      </c>
      <c r="P97" s="2">
        <v>30868</v>
      </c>
      <c r="Q97" s="6">
        <v>31035.42</v>
      </c>
      <c r="R97" s="2">
        <v>17648157</v>
      </c>
      <c r="S97" s="4">
        <f t="shared" si="3"/>
        <v>1.7585643645395947</v>
      </c>
      <c r="T97" s="2">
        <v>83988</v>
      </c>
      <c r="U97" s="6">
        <v>4201.54</v>
      </c>
      <c r="V97" s="2">
        <v>20576</v>
      </c>
      <c r="W97" s="7">
        <f t="shared" si="4"/>
        <v>0.20419615085536547</v>
      </c>
      <c r="X97" s="5">
        <v>8164</v>
      </c>
      <c r="Y97" s="6">
        <v>4372.1000000000004</v>
      </c>
      <c r="Z97" s="2">
        <v>3194376</v>
      </c>
      <c r="AA97" s="7">
        <f t="shared" si="5"/>
        <v>1.3686867169049606</v>
      </c>
      <c r="AB97" s="5">
        <v>3090</v>
      </c>
    </row>
    <row r="98" spans="1:28" ht="12" customHeight="1" x14ac:dyDescent="0.3">
      <c r="A98" s="1">
        <v>45236</v>
      </c>
      <c r="B98" s="1">
        <v>45242</v>
      </c>
      <c r="C98" s="2">
        <v>45</v>
      </c>
      <c r="D98" s="2">
        <v>2023</v>
      </c>
      <c r="E98" s="6">
        <v>74090.22</v>
      </c>
      <c r="F98" s="2">
        <v>116699</v>
      </c>
      <c r="G98" s="2">
        <v>137734</v>
      </c>
      <c r="H98" s="2">
        <f t="shared" si="0"/>
        <v>254433</v>
      </c>
      <c r="I98" s="6">
        <v>2501.19</v>
      </c>
      <c r="J98" s="2">
        <v>32956</v>
      </c>
      <c r="K98" s="4">
        <f t="shared" si="1"/>
        <v>7.5894829469595831E-2</v>
      </c>
      <c r="L98" s="2">
        <v>26075</v>
      </c>
      <c r="M98" s="6">
        <v>27221</v>
      </c>
      <c r="N98" s="2">
        <v>35292</v>
      </c>
      <c r="O98" s="4">
        <f t="shared" si="2"/>
        <v>0.77130794514337531</v>
      </c>
      <c r="P98" s="2">
        <v>31454</v>
      </c>
      <c r="Q98" s="6">
        <v>36964.44</v>
      </c>
      <c r="R98" s="2">
        <v>18938123</v>
      </c>
      <c r="S98" s="4">
        <f t="shared" si="3"/>
        <v>1.9518534122943443</v>
      </c>
      <c r="T98" s="2">
        <v>78387</v>
      </c>
      <c r="U98" s="6">
        <v>4362.59</v>
      </c>
      <c r="V98" s="2">
        <v>15927</v>
      </c>
      <c r="W98" s="7">
        <f t="shared" si="4"/>
        <v>0.27391159665976017</v>
      </c>
      <c r="X98" s="5">
        <v>6578</v>
      </c>
      <c r="Y98" s="6">
        <v>3041</v>
      </c>
      <c r="Z98" s="2">
        <v>2414713</v>
      </c>
      <c r="AA98" s="7">
        <f t="shared" si="5"/>
        <v>1.259362913936356</v>
      </c>
      <c r="AB98" s="5">
        <v>1818</v>
      </c>
    </row>
    <row r="99" spans="1:28" ht="12" customHeight="1" x14ac:dyDescent="0.3">
      <c r="A99" s="1">
        <v>45243</v>
      </c>
      <c r="B99" s="1">
        <v>45249</v>
      </c>
      <c r="C99" s="2">
        <v>46</v>
      </c>
      <c r="D99" s="2">
        <v>2023</v>
      </c>
      <c r="E99" s="6">
        <v>72514.12999999999</v>
      </c>
      <c r="F99" s="2">
        <v>116224</v>
      </c>
      <c r="G99" s="2">
        <v>122555</v>
      </c>
      <c r="H99" s="2">
        <f t="shared" si="0"/>
        <v>238779</v>
      </c>
      <c r="I99" s="6">
        <v>2545.3200000000002</v>
      </c>
      <c r="J99" s="2">
        <v>32909</v>
      </c>
      <c r="K99" s="4">
        <f t="shared" si="1"/>
        <v>7.7344191558540221E-2</v>
      </c>
      <c r="L99" s="2">
        <v>25997</v>
      </c>
      <c r="M99" s="6">
        <v>26665</v>
      </c>
      <c r="N99" s="2">
        <v>34841</v>
      </c>
      <c r="O99" s="4">
        <f t="shared" si="2"/>
        <v>0.76533394563875889</v>
      </c>
      <c r="P99" s="2">
        <v>30179</v>
      </c>
      <c r="Q99" s="6">
        <v>35790.199999999997</v>
      </c>
      <c r="R99" s="2">
        <v>16251311</v>
      </c>
      <c r="S99" s="4">
        <f t="shared" si="3"/>
        <v>2.2022961716750111</v>
      </c>
      <c r="T99" s="2">
        <v>64826</v>
      </c>
      <c r="U99" s="6">
        <v>4256.6900000000014</v>
      </c>
      <c r="V99" s="2">
        <v>13010</v>
      </c>
      <c r="W99" s="7">
        <f t="shared" si="4"/>
        <v>0.32718601076095322</v>
      </c>
      <c r="X99" s="5">
        <v>5730</v>
      </c>
      <c r="Y99" s="6">
        <v>3256.92</v>
      </c>
      <c r="Z99" s="2">
        <v>2670770</v>
      </c>
      <c r="AA99" s="7">
        <f t="shared" si="5"/>
        <v>1.2194685427797978</v>
      </c>
      <c r="AB99" s="5">
        <v>1553</v>
      </c>
    </row>
    <row r="100" spans="1:28" ht="12" customHeight="1" x14ac:dyDescent="0.3">
      <c r="A100" s="1">
        <v>45250</v>
      </c>
      <c r="B100" s="1">
        <v>45256</v>
      </c>
      <c r="C100" s="2">
        <v>47</v>
      </c>
      <c r="D100" s="2">
        <v>2023</v>
      </c>
      <c r="E100" s="6">
        <v>86991.75</v>
      </c>
      <c r="F100" s="2">
        <v>134205</v>
      </c>
      <c r="G100" s="2">
        <v>121760</v>
      </c>
      <c r="H100" s="2">
        <f t="shared" si="0"/>
        <v>255965</v>
      </c>
      <c r="I100" s="6">
        <f>499.88+2877.87</f>
        <v>3377.75</v>
      </c>
      <c r="J100" s="2">
        <f>1268+35822</f>
        <v>37090</v>
      </c>
      <c r="K100" s="4">
        <f t="shared" si="1"/>
        <v>9.1069021299541655E-2</v>
      </c>
      <c r="L100" s="2">
        <v>29187</v>
      </c>
      <c r="M100" s="6">
        <v>28696</v>
      </c>
      <c r="N100" s="2">
        <v>37624</v>
      </c>
      <c r="O100" s="4">
        <f t="shared" si="2"/>
        <v>0.7627046566021688</v>
      </c>
      <c r="P100" s="2">
        <v>30763</v>
      </c>
      <c r="Q100" s="6">
        <v>46364</v>
      </c>
      <c r="R100" s="2">
        <v>16126342</v>
      </c>
      <c r="S100" s="4">
        <f t="shared" si="3"/>
        <v>2.8750475464305545</v>
      </c>
      <c r="T100" s="2">
        <v>60589</v>
      </c>
      <c r="U100" s="6">
        <v>4773</v>
      </c>
      <c r="V100" s="2">
        <v>16394</v>
      </c>
      <c r="W100" s="7">
        <f t="shared" si="4"/>
        <v>0.29114310113456143</v>
      </c>
      <c r="X100" s="5">
        <v>5168</v>
      </c>
      <c r="Y100" s="6">
        <v>3781</v>
      </c>
      <c r="Z100" s="2">
        <v>4188450</v>
      </c>
      <c r="AA100" s="7">
        <f t="shared" si="5"/>
        <v>0.90272057682436224</v>
      </c>
      <c r="AB100" s="5">
        <v>1221</v>
      </c>
    </row>
    <row r="101" spans="1:28" ht="12" customHeight="1" x14ac:dyDescent="0.3">
      <c r="A101" s="1">
        <v>45257</v>
      </c>
      <c r="B101" s="1">
        <v>45263</v>
      </c>
      <c r="C101" s="2">
        <v>48</v>
      </c>
      <c r="D101" s="2">
        <v>2023</v>
      </c>
      <c r="E101" s="6">
        <v>78726.959999999992</v>
      </c>
      <c r="F101" s="2">
        <v>109717</v>
      </c>
      <c r="G101" s="2">
        <v>124784</v>
      </c>
      <c r="H101" s="2">
        <f t="shared" si="0"/>
        <v>234501</v>
      </c>
      <c r="I101" s="6">
        <f>3044.92+484.78</f>
        <v>3529.7</v>
      </c>
      <c r="J101" s="2">
        <f>34721+1157</f>
        <v>35878</v>
      </c>
      <c r="K101" s="4">
        <f t="shared" si="1"/>
        <v>9.83806232231451E-2</v>
      </c>
      <c r="L101" s="2">
        <v>28681</v>
      </c>
      <c r="M101" s="6">
        <v>33140</v>
      </c>
      <c r="N101" s="2">
        <v>38306</v>
      </c>
      <c r="O101" s="4">
        <f t="shared" si="2"/>
        <v>0.86513862058163216</v>
      </c>
      <c r="P101" s="2">
        <v>31838</v>
      </c>
      <c r="Q101" s="6">
        <v>36900</v>
      </c>
      <c r="R101" s="2">
        <v>15260508</v>
      </c>
      <c r="S101" s="4">
        <f t="shared" si="3"/>
        <v>2.4180060060910162</v>
      </c>
      <c r="T101" s="2">
        <v>63727</v>
      </c>
      <c r="U101" s="6">
        <v>4156.7299999999996</v>
      </c>
      <c r="V101" s="2">
        <v>14597</v>
      </c>
      <c r="W101" s="7">
        <f t="shared" si="4"/>
        <v>0.28476604781804477</v>
      </c>
      <c r="X101" s="5">
        <v>5260</v>
      </c>
      <c r="Y101" s="6">
        <v>1000.53</v>
      </c>
      <c r="Z101" s="2">
        <v>795705</v>
      </c>
      <c r="AA101" s="7">
        <f t="shared" si="5"/>
        <v>1.2574132373178502</v>
      </c>
      <c r="AB101" s="5">
        <v>538</v>
      </c>
    </row>
    <row r="102" spans="1:28" ht="12" customHeight="1" x14ac:dyDescent="0.3">
      <c r="A102" s="1">
        <v>45264</v>
      </c>
      <c r="B102" s="1">
        <v>45270</v>
      </c>
      <c r="C102" s="2">
        <v>49</v>
      </c>
      <c r="D102" s="2">
        <v>2023</v>
      </c>
      <c r="E102" s="6">
        <v>69758.399999999994</v>
      </c>
      <c r="F102" s="2">
        <v>105461</v>
      </c>
      <c r="G102" s="2">
        <v>122033</v>
      </c>
      <c r="H102" s="2">
        <f t="shared" si="0"/>
        <v>227494</v>
      </c>
      <c r="I102" s="6">
        <v>2487</v>
      </c>
      <c r="J102" s="8">
        <v>33203</v>
      </c>
      <c r="K102" s="4">
        <f t="shared" si="1"/>
        <v>7.490287022257025E-2</v>
      </c>
      <c r="L102" s="2">
        <v>27262</v>
      </c>
      <c r="M102" s="6">
        <v>29045</v>
      </c>
      <c r="N102" s="8">
        <v>36455</v>
      </c>
      <c r="O102" s="4">
        <f t="shared" si="2"/>
        <v>0.79673570154985596</v>
      </c>
      <c r="P102" s="2">
        <v>31555</v>
      </c>
      <c r="Q102" s="6">
        <v>33294</v>
      </c>
      <c r="R102" s="2">
        <v>13638697</v>
      </c>
      <c r="S102" s="4">
        <f t="shared" si="3"/>
        <v>2.4411422880059583</v>
      </c>
      <c r="T102" s="2">
        <v>62558</v>
      </c>
      <c r="U102" s="6">
        <v>4253.3999999999996</v>
      </c>
      <c r="V102" s="2">
        <v>14137</v>
      </c>
      <c r="W102" s="7">
        <f t="shared" si="4"/>
        <v>0.30087005729645611</v>
      </c>
      <c r="X102" s="5">
        <v>5352</v>
      </c>
      <c r="Y102" s="6">
        <v>679</v>
      </c>
      <c r="Z102" s="2">
        <v>474843</v>
      </c>
      <c r="AA102" s="7">
        <f t="shared" si="5"/>
        <v>1.429946319099155</v>
      </c>
      <c r="AB102" s="5">
        <v>658</v>
      </c>
    </row>
    <row r="103" spans="1:28" ht="12" customHeight="1" x14ac:dyDescent="0.3">
      <c r="A103" s="1">
        <v>45271</v>
      </c>
      <c r="B103" s="1">
        <v>45277</v>
      </c>
      <c r="C103" s="2">
        <v>50</v>
      </c>
      <c r="D103" s="2">
        <v>2023</v>
      </c>
      <c r="E103" s="6">
        <v>69027.61</v>
      </c>
      <c r="F103" s="2">
        <v>112993</v>
      </c>
      <c r="G103" s="2">
        <v>112415</v>
      </c>
      <c r="H103" s="2">
        <f t="shared" si="0"/>
        <v>225408</v>
      </c>
      <c r="I103" s="6">
        <f>2357.65+408.87</f>
        <v>2766.52</v>
      </c>
      <c r="J103" s="8">
        <f>31874+1021</f>
        <v>32895</v>
      </c>
      <c r="K103" s="4">
        <f t="shared" si="1"/>
        <v>8.4101535187718499E-2</v>
      </c>
      <c r="L103" s="2">
        <v>25572</v>
      </c>
      <c r="M103" s="6">
        <v>26292</v>
      </c>
      <c r="N103" s="8">
        <v>34032</v>
      </c>
      <c r="O103" s="4">
        <f t="shared" si="2"/>
        <v>0.77256699576868826</v>
      </c>
      <c r="P103" s="2">
        <v>28538</v>
      </c>
      <c r="Q103" s="6">
        <v>35003.06</v>
      </c>
      <c r="R103" s="2">
        <v>13180543</v>
      </c>
      <c r="S103" s="4">
        <f t="shared" si="3"/>
        <v>2.6556614549188144</v>
      </c>
      <c r="T103" s="2">
        <v>57885</v>
      </c>
      <c r="U103" s="6">
        <v>4250.7</v>
      </c>
      <c r="V103" s="2">
        <v>20108</v>
      </c>
      <c r="W103" s="7">
        <f t="shared" si="4"/>
        <v>0.2113934752337378</v>
      </c>
      <c r="X103" s="5">
        <v>5594</v>
      </c>
      <c r="Y103" s="6">
        <v>715.33</v>
      </c>
      <c r="Z103" s="2">
        <v>385769</v>
      </c>
      <c r="AA103" s="7">
        <f t="shared" si="5"/>
        <v>1.8542962239060163</v>
      </c>
      <c r="AB103" s="5">
        <v>420</v>
      </c>
    </row>
    <row r="104" spans="1:28" ht="12" customHeight="1" x14ac:dyDescent="0.3">
      <c r="A104" s="1">
        <v>45278</v>
      </c>
      <c r="B104" s="1">
        <v>45284</v>
      </c>
      <c r="C104" s="2">
        <v>51</v>
      </c>
      <c r="D104" s="2">
        <v>2023</v>
      </c>
      <c r="E104" s="6">
        <v>78133.41</v>
      </c>
      <c r="F104" s="2">
        <v>95094</v>
      </c>
      <c r="G104" s="2">
        <v>120994</v>
      </c>
      <c r="H104" s="2">
        <f t="shared" si="0"/>
        <v>216088</v>
      </c>
      <c r="I104" s="6">
        <f>2698.4+368.55</f>
        <v>3066.9500000000003</v>
      </c>
      <c r="J104" s="8">
        <f>31465+909</f>
        <v>32374</v>
      </c>
      <c r="K104" s="4">
        <f t="shared" si="1"/>
        <v>9.4734972508803375E-2</v>
      </c>
      <c r="L104" s="2">
        <v>24581</v>
      </c>
      <c r="M104" s="6">
        <v>30055</v>
      </c>
      <c r="N104" s="8">
        <v>36427</v>
      </c>
      <c r="O104" s="4">
        <f t="shared" si="2"/>
        <v>0.82507480714854364</v>
      </c>
      <c r="P104" s="2">
        <v>30774</v>
      </c>
      <c r="Q104" s="6">
        <v>39174.94</v>
      </c>
      <c r="R104" s="2">
        <v>16110620</v>
      </c>
      <c r="S104" s="4">
        <f t="shared" si="3"/>
        <v>2.4316221225502188</v>
      </c>
      <c r="T104" s="2">
        <v>63828</v>
      </c>
      <c r="U104" s="6">
        <v>2974.03</v>
      </c>
      <c r="V104" s="2">
        <v>24160</v>
      </c>
      <c r="W104" s="7">
        <f t="shared" si="4"/>
        <v>0.12309726821192053</v>
      </c>
      <c r="X104" s="5">
        <v>5758</v>
      </c>
      <c r="Y104" s="6">
        <v>2862.49</v>
      </c>
      <c r="Z104" s="2">
        <v>1802732</v>
      </c>
      <c r="AA104" s="7">
        <f t="shared" si="5"/>
        <v>1.5878622002604934</v>
      </c>
      <c r="AB104" s="5">
        <v>1811</v>
      </c>
    </row>
    <row r="105" spans="1:28" ht="12" customHeight="1" x14ac:dyDescent="0.3">
      <c r="A105" s="1">
        <v>45285</v>
      </c>
      <c r="B105" s="1">
        <v>45291</v>
      </c>
      <c r="C105" s="2">
        <v>52</v>
      </c>
      <c r="D105" s="2">
        <v>2023</v>
      </c>
      <c r="E105" s="6">
        <v>75748.56</v>
      </c>
      <c r="F105" s="2">
        <v>127147</v>
      </c>
      <c r="G105" s="2">
        <v>157641</v>
      </c>
      <c r="H105" s="2">
        <f t="shared" si="0"/>
        <v>284788</v>
      </c>
      <c r="I105" s="6">
        <f>2994.12+421.23</f>
        <v>3415.35</v>
      </c>
      <c r="J105" s="8">
        <f>48073+909</f>
        <v>48982</v>
      </c>
      <c r="K105" s="4">
        <f t="shared" si="1"/>
        <v>6.9726634273814869E-2</v>
      </c>
      <c r="L105" s="2">
        <v>36299</v>
      </c>
      <c r="M105" s="6">
        <v>32671</v>
      </c>
      <c r="N105" s="8">
        <v>46059</v>
      </c>
      <c r="O105" s="4">
        <f t="shared" si="2"/>
        <v>0.70932933845719626</v>
      </c>
      <c r="P105" s="2">
        <v>39090</v>
      </c>
      <c r="Q105" s="6">
        <v>34720.76</v>
      </c>
      <c r="R105" s="2">
        <v>21052510</v>
      </c>
      <c r="S105" s="4">
        <f t="shared" si="3"/>
        <v>1.649245624393481</v>
      </c>
      <c r="T105" s="2">
        <v>80206</v>
      </c>
      <c r="U105" s="6">
        <v>1917.9</v>
      </c>
      <c r="V105" s="2">
        <v>32540</v>
      </c>
      <c r="W105" s="7">
        <f t="shared" si="4"/>
        <v>5.8939766441303013E-2</v>
      </c>
      <c r="X105" s="5">
        <v>8473</v>
      </c>
      <c r="Y105" s="6">
        <v>3023.55</v>
      </c>
      <c r="Z105" s="2">
        <v>2402859</v>
      </c>
      <c r="AA105" s="7">
        <f t="shared" si="5"/>
        <v>1.2583135340026195</v>
      </c>
      <c r="AB105" s="5">
        <v>2046</v>
      </c>
    </row>
    <row r="106" spans="1:28" ht="12" customHeight="1" x14ac:dyDescent="0.3">
      <c r="A106" s="13">
        <v>45292</v>
      </c>
      <c r="B106" s="13">
        <v>45298</v>
      </c>
      <c r="C106" s="5">
        <v>1</v>
      </c>
      <c r="D106" s="5">
        <v>2024</v>
      </c>
      <c r="E106" s="6">
        <v>109461.82</v>
      </c>
      <c r="F106" s="5">
        <v>188830</v>
      </c>
      <c r="G106" s="2">
        <v>245277</v>
      </c>
      <c r="H106" s="2">
        <f t="shared" si="0"/>
        <v>434107</v>
      </c>
      <c r="I106" s="14">
        <f>4043.52+1784.62</f>
        <v>5828.1399999999994</v>
      </c>
      <c r="J106" s="8">
        <f>3529+72157</f>
        <v>75686</v>
      </c>
      <c r="K106" s="4">
        <f t="shared" si="1"/>
        <v>7.7004201569642994E-2</v>
      </c>
      <c r="L106" s="2">
        <v>54604</v>
      </c>
      <c r="M106" s="14">
        <v>45853</v>
      </c>
      <c r="N106" s="15">
        <v>67775</v>
      </c>
      <c r="O106" s="4">
        <f t="shared" si="2"/>
        <v>0.67654739948358544</v>
      </c>
      <c r="P106" s="2">
        <v>60846</v>
      </c>
      <c r="Q106" s="6">
        <v>46198.3</v>
      </c>
      <c r="R106" s="2">
        <v>40837804</v>
      </c>
      <c r="S106" s="4">
        <f t="shared" si="3"/>
        <v>1.131263081628973</v>
      </c>
      <c r="T106" s="2">
        <v>124803</v>
      </c>
      <c r="U106" s="6">
        <v>4236.8799999999992</v>
      </c>
      <c r="V106" s="2">
        <v>86217</v>
      </c>
      <c r="W106" s="7">
        <f t="shared" si="4"/>
        <v>4.9142048551909706E-2</v>
      </c>
      <c r="X106" s="5">
        <v>24450</v>
      </c>
      <c r="Y106" s="6">
        <v>7345.5</v>
      </c>
      <c r="Z106" s="2">
        <v>7027817</v>
      </c>
      <c r="AA106" s="7">
        <f t="shared" si="5"/>
        <v>1.0452036528555027</v>
      </c>
      <c r="AB106" s="5">
        <v>5024</v>
      </c>
    </row>
    <row r="107" spans="1:28" ht="12" customHeight="1" x14ac:dyDescent="0.3">
      <c r="A107" s="13">
        <v>45299</v>
      </c>
      <c r="B107" s="13">
        <v>45305</v>
      </c>
      <c r="C107" s="5">
        <v>2</v>
      </c>
      <c r="D107" s="5">
        <v>2024</v>
      </c>
      <c r="E107" s="6">
        <v>119785.1</v>
      </c>
      <c r="F107" s="5">
        <v>178050</v>
      </c>
      <c r="G107" s="2">
        <v>220666</v>
      </c>
      <c r="H107" s="2">
        <f t="shared" si="0"/>
        <v>398716</v>
      </c>
      <c r="I107" s="14">
        <f>4050.23+654.27</f>
        <v>4704.5</v>
      </c>
      <c r="J107" s="8">
        <f>62120+1704</f>
        <v>63824</v>
      </c>
      <c r="K107" s="4">
        <f t="shared" si="1"/>
        <v>7.3710516420155428E-2</v>
      </c>
      <c r="L107" s="2">
        <v>49410</v>
      </c>
      <c r="M107" s="14">
        <v>48182</v>
      </c>
      <c r="N107" s="15">
        <v>69384</v>
      </c>
      <c r="O107" s="4">
        <f t="shared" si="2"/>
        <v>0.69442522771820592</v>
      </c>
      <c r="P107" s="2">
        <v>57656</v>
      </c>
      <c r="Q107" s="6">
        <v>52555.4</v>
      </c>
      <c r="R107" s="2">
        <v>35905739</v>
      </c>
      <c r="S107" s="4">
        <f t="shared" si="3"/>
        <v>1.4637047297647878</v>
      </c>
      <c r="T107" s="2">
        <v>109995</v>
      </c>
      <c r="U107" s="6">
        <v>5222.33</v>
      </c>
      <c r="V107" s="2">
        <v>80773</v>
      </c>
      <c r="W107" s="7">
        <f t="shared" si="4"/>
        <v>6.4654401842199741E-2</v>
      </c>
      <c r="X107" s="5">
        <v>28662</v>
      </c>
      <c r="Y107" s="6">
        <v>9120.8700000000008</v>
      </c>
      <c r="Z107" s="2">
        <v>7451341</v>
      </c>
      <c r="AA107" s="7">
        <f t="shared" si="5"/>
        <v>1.2240575219950343</v>
      </c>
      <c r="AB107" s="5">
        <v>3605</v>
      </c>
    </row>
    <row r="108" spans="1:28" ht="12" customHeight="1" x14ac:dyDescent="0.3">
      <c r="A108" s="13">
        <v>45306</v>
      </c>
      <c r="B108" s="13">
        <v>45312</v>
      </c>
      <c r="C108" s="5">
        <v>3</v>
      </c>
      <c r="D108" s="5">
        <v>2024</v>
      </c>
      <c r="E108" s="6">
        <v>148889.46</v>
      </c>
      <c r="F108" s="2">
        <v>198921</v>
      </c>
      <c r="G108" s="2">
        <v>238322</v>
      </c>
      <c r="H108" s="2">
        <f t="shared" si="0"/>
        <v>437243</v>
      </c>
      <c r="I108" s="6">
        <f>4561.38+674.57</f>
        <v>5235.95</v>
      </c>
      <c r="J108" s="8">
        <f>62169+1727</f>
        <v>63896</v>
      </c>
      <c r="K108" s="4">
        <f t="shared" si="1"/>
        <v>8.1944879178665331E-2</v>
      </c>
      <c r="L108" s="2">
        <v>49499</v>
      </c>
      <c r="M108" s="6">
        <v>47688</v>
      </c>
      <c r="N108" s="8">
        <v>66039</v>
      </c>
      <c r="O108" s="4">
        <f t="shared" si="2"/>
        <v>0.72211874801253806</v>
      </c>
      <c r="P108" s="2">
        <v>56743</v>
      </c>
      <c r="Q108" s="6">
        <v>77679.45</v>
      </c>
      <c r="R108" s="2">
        <v>42367478</v>
      </c>
      <c r="S108" s="4">
        <f t="shared" si="3"/>
        <v>1.8334688224774671</v>
      </c>
      <c r="T108" s="2">
        <v>126493</v>
      </c>
      <c r="U108" s="6">
        <v>6748.9699999999993</v>
      </c>
      <c r="V108" s="2">
        <v>82018</v>
      </c>
      <c r="W108" s="7">
        <f t="shared" si="4"/>
        <v>8.228644931600379E-2</v>
      </c>
      <c r="X108" s="5">
        <v>24716</v>
      </c>
      <c r="Y108" s="6">
        <v>11537.09</v>
      </c>
      <c r="Z108" s="2">
        <v>8036393</v>
      </c>
      <c r="AA108" s="7">
        <f t="shared" si="5"/>
        <v>1.4356055011246962</v>
      </c>
      <c r="AB108" s="5">
        <v>5587</v>
      </c>
    </row>
    <row r="109" spans="1:28" ht="12" customHeight="1" x14ac:dyDescent="0.3">
      <c r="A109" s="13">
        <v>45313</v>
      </c>
      <c r="B109" s="13">
        <v>45319</v>
      </c>
      <c r="C109" s="5">
        <v>4</v>
      </c>
      <c r="D109" s="5">
        <v>2024</v>
      </c>
      <c r="E109" s="6">
        <v>152251.07999999999</v>
      </c>
      <c r="F109" s="2">
        <v>201202</v>
      </c>
      <c r="G109" s="2">
        <v>205410</v>
      </c>
      <c r="H109" s="2">
        <f t="shared" si="0"/>
        <v>406612</v>
      </c>
      <c r="I109" s="6">
        <f>4462.59+704</f>
        <v>5166.59</v>
      </c>
      <c r="J109" s="3">
        <f>58244+1709</f>
        <v>59953</v>
      </c>
      <c r="K109" s="4">
        <f t="shared" si="1"/>
        <v>8.6177338915483792E-2</v>
      </c>
      <c r="L109" s="2">
        <v>45576</v>
      </c>
      <c r="M109" s="6">
        <v>46336</v>
      </c>
      <c r="N109" s="8">
        <v>62886</v>
      </c>
      <c r="O109" s="4">
        <f t="shared" si="2"/>
        <v>0.73682536653627195</v>
      </c>
      <c r="P109" s="2">
        <v>50088</v>
      </c>
      <c r="Q109" s="6">
        <v>82752.98</v>
      </c>
      <c r="R109" s="2">
        <v>43644784</v>
      </c>
      <c r="S109" s="4">
        <f t="shared" si="3"/>
        <v>1.8960565826147746</v>
      </c>
      <c r="T109" s="2">
        <v>106883</v>
      </c>
      <c r="U109" s="6">
        <v>8164.9699999999993</v>
      </c>
      <c r="V109" s="2">
        <v>68217</v>
      </c>
      <c r="W109" s="7">
        <f t="shared" si="4"/>
        <v>0.11969113270885555</v>
      </c>
      <c r="X109" s="5">
        <v>21720</v>
      </c>
      <c r="Y109" s="6">
        <v>9830.5400000000009</v>
      </c>
      <c r="Z109" s="2">
        <v>6730396</v>
      </c>
      <c r="AA109" s="7">
        <f t="shared" si="5"/>
        <v>1.4606183648034976</v>
      </c>
      <c r="AB109" s="5">
        <v>2863</v>
      </c>
    </row>
    <row r="110" spans="1:28" ht="12" customHeight="1" x14ac:dyDescent="0.3">
      <c r="A110" s="13">
        <v>45320</v>
      </c>
      <c r="B110" s="13">
        <v>45326</v>
      </c>
      <c r="C110" s="5">
        <v>5</v>
      </c>
      <c r="D110" s="5">
        <v>2024</v>
      </c>
      <c r="E110" s="6">
        <v>135892.07999999999</v>
      </c>
      <c r="F110" s="2">
        <f>189977</f>
        <v>189977</v>
      </c>
      <c r="G110" s="2">
        <v>192557</v>
      </c>
      <c r="H110" s="2">
        <f t="shared" si="0"/>
        <v>382534</v>
      </c>
      <c r="I110" s="6">
        <f>4859.93+708.3</f>
        <v>5568.2300000000005</v>
      </c>
      <c r="J110" s="3">
        <f>53728+1670</f>
        <v>55398</v>
      </c>
      <c r="K110" s="4">
        <f t="shared" si="1"/>
        <v>0.10051319542221741</v>
      </c>
      <c r="L110" s="2">
        <v>44389</v>
      </c>
      <c r="M110" s="6">
        <v>44813</v>
      </c>
      <c r="N110" s="8">
        <v>60207</v>
      </c>
      <c r="O110" s="4">
        <f t="shared" si="2"/>
        <v>0.74431544504791802</v>
      </c>
      <c r="P110" s="2">
        <v>48601</v>
      </c>
      <c r="Q110" s="6">
        <v>70770.820000000007</v>
      </c>
      <c r="R110" s="2">
        <v>38084715</v>
      </c>
      <c r="S110" s="4">
        <f t="shared" si="3"/>
        <v>1.858247330983047</v>
      </c>
      <c r="T110" s="2">
        <v>97023</v>
      </c>
      <c r="U110" s="6">
        <v>7655.6200000000008</v>
      </c>
      <c r="V110" s="2">
        <v>90335</v>
      </c>
      <c r="W110" s="7">
        <f t="shared" si="4"/>
        <v>8.4746997287872924E-2</v>
      </c>
      <c r="X110" s="5">
        <v>23451</v>
      </c>
      <c r="Y110" s="6">
        <v>7084.41</v>
      </c>
      <c r="Z110" s="2">
        <v>5525277</v>
      </c>
      <c r="AA110" s="7">
        <f t="shared" si="5"/>
        <v>1.282181870700781</v>
      </c>
      <c r="AB110" s="5">
        <v>2544</v>
      </c>
    </row>
    <row r="111" spans="1:28" ht="12" customHeight="1" x14ac:dyDescent="0.3">
      <c r="A111" s="13">
        <v>45327</v>
      </c>
      <c r="B111" s="13">
        <v>45333</v>
      </c>
      <c r="C111" s="5">
        <v>6</v>
      </c>
      <c r="D111" s="5">
        <v>2024</v>
      </c>
      <c r="E111" s="6">
        <v>133308.12</v>
      </c>
      <c r="F111" s="2">
        <v>163098</v>
      </c>
      <c r="G111" s="2">
        <v>175028</v>
      </c>
      <c r="H111" s="2">
        <f t="shared" si="0"/>
        <v>338126</v>
      </c>
      <c r="I111" s="6">
        <f>3528.29+673.16</f>
        <v>4201.45</v>
      </c>
      <c r="J111" s="3">
        <f>45832+1610</f>
        <v>47442</v>
      </c>
      <c r="K111" s="4">
        <f t="shared" si="1"/>
        <v>8.8559715020446017E-2</v>
      </c>
      <c r="L111" s="2">
        <v>36528</v>
      </c>
      <c r="M111" s="6">
        <v>45924</v>
      </c>
      <c r="N111" s="8">
        <v>60912</v>
      </c>
      <c r="O111" s="4">
        <f t="shared" si="2"/>
        <v>0.75394011032308905</v>
      </c>
      <c r="P111" s="2">
        <v>49108</v>
      </c>
      <c r="Q111" s="6">
        <v>64864.44</v>
      </c>
      <c r="R111" s="2">
        <v>34060691</v>
      </c>
      <c r="S111" s="4">
        <f t="shared" si="3"/>
        <v>1.9043782758253496</v>
      </c>
      <c r="T111" s="2">
        <v>86348</v>
      </c>
      <c r="U111" s="6">
        <v>8404.0600000000013</v>
      </c>
      <c r="V111" s="2">
        <v>108000</v>
      </c>
      <c r="W111" s="7">
        <f t="shared" si="4"/>
        <v>7.7815370370370382E-2</v>
      </c>
      <c r="X111" s="5">
        <v>21956</v>
      </c>
      <c r="Y111" s="6">
        <v>9914.17</v>
      </c>
      <c r="Z111" s="2">
        <v>6875183</v>
      </c>
      <c r="AA111" s="7">
        <f t="shared" si="5"/>
        <v>1.442022706886493</v>
      </c>
      <c r="AB111" s="5">
        <v>3044</v>
      </c>
    </row>
    <row r="112" spans="1:28" ht="12" customHeight="1" x14ac:dyDescent="0.3">
      <c r="A112" s="13">
        <v>45334</v>
      </c>
      <c r="B112" s="13">
        <v>45340</v>
      </c>
      <c r="C112" s="5">
        <v>7</v>
      </c>
      <c r="D112" s="5">
        <v>2024</v>
      </c>
      <c r="E112" s="6">
        <v>137261.74</v>
      </c>
      <c r="F112" s="8">
        <v>167144</v>
      </c>
      <c r="G112" s="2">
        <v>188329</v>
      </c>
      <c r="H112" s="8">
        <f t="shared" si="0"/>
        <v>355473</v>
      </c>
      <c r="I112" s="6">
        <f>3388.95+656.69</f>
        <v>4045.64</v>
      </c>
      <c r="J112" s="3">
        <f>49510+1639</f>
        <v>51149</v>
      </c>
      <c r="K112" s="4">
        <f t="shared" si="1"/>
        <v>7.9095192476881265E-2</v>
      </c>
      <c r="L112" s="2">
        <v>39249</v>
      </c>
      <c r="M112" s="6">
        <v>48398</v>
      </c>
      <c r="N112" s="8">
        <v>64289</v>
      </c>
      <c r="O112" s="4">
        <f t="shared" si="2"/>
        <v>0.75281930034687117</v>
      </c>
      <c r="P112" s="2">
        <v>50290</v>
      </c>
      <c r="Q112" s="6">
        <v>66351.399999999994</v>
      </c>
      <c r="R112" s="2">
        <v>33767355</v>
      </c>
      <c r="S112" s="4">
        <f t="shared" si="3"/>
        <v>1.9649569828611093</v>
      </c>
      <c r="T112" s="2">
        <v>94820</v>
      </c>
      <c r="U112" s="6">
        <v>7931.57</v>
      </c>
      <c r="V112" s="2">
        <v>108479</v>
      </c>
      <c r="W112" s="7">
        <f t="shared" si="4"/>
        <v>7.3116179168318293E-2</v>
      </c>
      <c r="X112" s="5">
        <v>21210</v>
      </c>
      <c r="Y112" s="6">
        <v>10535.13</v>
      </c>
      <c r="Z112" s="2">
        <v>6226519</v>
      </c>
      <c r="AA112" s="7">
        <f t="shared" si="5"/>
        <v>1.6919774917574328</v>
      </c>
      <c r="AB112" s="5">
        <v>3970</v>
      </c>
    </row>
    <row r="113" spans="1:28" ht="12" customHeight="1" x14ac:dyDescent="0.3">
      <c r="A113" s="13">
        <v>45341</v>
      </c>
      <c r="B113" s="13">
        <v>45347</v>
      </c>
      <c r="C113" s="5">
        <v>8</v>
      </c>
      <c r="D113" s="5">
        <v>2024</v>
      </c>
      <c r="E113" s="6">
        <v>153214.37</v>
      </c>
      <c r="F113" s="2">
        <v>170315</v>
      </c>
      <c r="G113" s="2">
        <v>202286</v>
      </c>
      <c r="H113" s="2">
        <f t="shared" si="0"/>
        <v>372601</v>
      </c>
      <c r="I113" s="6">
        <v>4785.21</v>
      </c>
      <c r="J113" s="2">
        <v>59845</v>
      </c>
      <c r="K113" s="4">
        <f t="shared" si="1"/>
        <v>7.99600634973682E-2</v>
      </c>
      <c r="L113" s="2">
        <v>44107</v>
      </c>
      <c r="M113" s="6">
        <v>59814</v>
      </c>
      <c r="N113" s="2">
        <v>74275</v>
      </c>
      <c r="O113" s="4">
        <f t="shared" si="2"/>
        <v>0.80530461124200603</v>
      </c>
      <c r="P113" s="2">
        <v>54122</v>
      </c>
      <c r="Q113" s="6">
        <v>71011.12</v>
      </c>
      <c r="R113" s="2">
        <v>37341202</v>
      </c>
      <c r="S113" s="4">
        <f t="shared" si="3"/>
        <v>1.9016827578287381</v>
      </c>
      <c r="T113" s="2">
        <v>100679</v>
      </c>
      <c r="U113" s="6">
        <v>8529.24</v>
      </c>
      <c r="V113" s="2">
        <v>124597</v>
      </c>
      <c r="W113" s="7">
        <f t="shared" si="4"/>
        <v>6.8454617687424252E-2</v>
      </c>
      <c r="X113" s="5">
        <v>24068</v>
      </c>
      <c r="Y113" s="6">
        <v>9074.7999999999993</v>
      </c>
      <c r="Z113" s="2">
        <v>6240426</v>
      </c>
      <c r="AA113" s="7">
        <f t="shared" si="5"/>
        <v>1.4541955949802143</v>
      </c>
      <c r="AB113" s="5">
        <v>3378</v>
      </c>
    </row>
    <row r="114" spans="1:28" ht="12" customHeight="1" x14ac:dyDescent="0.3">
      <c r="A114" s="13">
        <v>45348</v>
      </c>
      <c r="B114" s="13">
        <v>45354</v>
      </c>
      <c r="C114" s="5">
        <v>9</v>
      </c>
      <c r="D114" s="5">
        <v>2024</v>
      </c>
      <c r="E114" s="6">
        <v>160683.4</v>
      </c>
      <c r="F114" s="2">
        <v>182049</v>
      </c>
      <c r="G114" s="2">
        <v>201015</v>
      </c>
      <c r="H114" s="2">
        <f t="shared" si="0"/>
        <v>383064</v>
      </c>
      <c r="I114" s="6">
        <v>5693.71</v>
      </c>
      <c r="J114" s="2">
        <v>62346</v>
      </c>
      <c r="K114" s="4">
        <f t="shared" si="1"/>
        <v>9.1324383280402918E-2</v>
      </c>
      <c r="L114" s="2">
        <v>47384</v>
      </c>
      <c r="M114" s="6">
        <v>62357</v>
      </c>
      <c r="N114" s="2">
        <v>75215</v>
      </c>
      <c r="O114" s="4">
        <f t="shared" si="2"/>
        <v>0.82905005650468655</v>
      </c>
      <c r="P114" s="2">
        <v>56457</v>
      </c>
      <c r="Q114" s="6">
        <v>72942.299999999988</v>
      </c>
      <c r="R114" s="2">
        <v>36730753</v>
      </c>
      <c r="S114" s="4">
        <f t="shared" si="3"/>
        <v>1.9858645424448551</v>
      </c>
      <c r="T114" s="2">
        <v>93918</v>
      </c>
      <c r="U114" s="6">
        <v>9170.6200000000008</v>
      </c>
      <c r="V114" s="2">
        <v>149736</v>
      </c>
      <c r="W114" s="7">
        <f t="shared" si="4"/>
        <v>6.1245258321312182E-2</v>
      </c>
      <c r="X114" s="5">
        <v>34192</v>
      </c>
      <c r="Y114" s="6">
        <v>10519.77</v>
      </c>
      <c r="Z114" s="2">
        <v>6999691</v>
      </c>
      <c r="AA114" s="7">
        <f t="shared" si="5"/>
        <v>1.5028906276005614</v>
      </c>
      <c r="AB114" s="5">
        <v>3256</v>
      </c>
    </row>
    <row r="115" spans="1:28" ht="12" customHeight="1" x14ac:dyDescent="0.3">
      <c r="A115" s="13">
        <v>45355</v>
      </c>
      <c r="B115" s="13">
        <v>45361</v>
      </c>
      <c r="C115" s="5">
        <v>10</v>
      </c>
      <c r="D115" s="5">
        <v>2024</v>
      </c>
      <c r="E115" s="6">
        <v>151360.18</v>
      </c>
      <c r="F115" s="2">
        <v>163661</v>
      </c>
      <c r="G115" s="2">
        <v>199199</v>
      </c>
      <c r="H115" s="2">
        <f t="shared" si="0"/>
        <v>362860</v>
      </c>
      <c r="I115" s="6">
        <v>5533.91</v>
      </c>
      <c r="J115" s="2">
        <v>63856</v>
      </c>
      <c r="K115" s="4">
        <f t="shared" si="1"/>
        <v>8.6662334001503374E-2</v>
      </c>
      <c r="L115" s="2">
        <v>49181</v>
      </c>
      <c r="M115" s="6">
        <v>61984</v>
      </c>
      <c r="N115" s="2">
        <v>75097</v>
      </c>
      <c r="O115" s="4">
        <f t="shared" si="2"/>
        <v>0.82538583432094492</v>
      </c>
      <c r="P115" s="2">
        <v>58318</v>
      </c>
      <c r="Q115" s="6">
        <v>65733.88</v>
      </c>
      <c r="R115" s="2">
        <v>32077671</v>
      </c>
      <c r="S115" s="4">
        <f t="shared" si="3"/>
        <v>2.0492098693823499</v>
      </c>
      <c r="T115" s="2">
        <v>88409</v>
      </c>
      <c r="U115" s="6">
        <v>8804.64</v>
      </c>
      <c r="V115" s="2">
        <v>126049</v>
      </c>
      <c r="W115" s="7">
        <f t="shared" si="4"/>
        <v>6.9850930987155779E-2</v>
      </c>
      <c r="X115" s="5">
        <v>30706</v>
      </c>
      <c r="Y115" s="6">
        <v>9303.75</v>
      </c>
      <c r="Z115" s="2">
        <v>6129564</v>
      </c>
      <c r="AA115" s="7">
        <f t="shared" si="5"/>
        <v>1.5178485778107547</v>
      </c>
      <c r="AB115" s="5">
        <v>3291</v>
      </c>
    </row>
    <row r="116" spans="1:28" ht="12" customHeight="1" x14ac:dyDescent="0.3">
      <c r="A116" s="13">
        <v>45362</v>
      </c>
      <c r="B116" s="13">
        <v>45368</v>
      </c>
      <c r="C116" s="5">
        <v>11</v>
      </c>
      <c r="D116" s="5">
        <v>2024</v>
      </c>
      <c r="E116" s="6">
        <v>140849.75</v>
      </c>
      <c r="F116" s="2">
        <v>170587</v>
      </c>
      <c r="G116" s="2">
        <v>193938</v>
      </c>
      <c r="H116" s="2">
        <f t="shared" si="0"/>
        <v>364525</v>
      </c>
      <c r="I116" s="6">
        <v>5893.55</v>
      </c>
      <c r="J116" s="2">
        <v>69195</v>
      </c>
      <c r="K116" s="4">
        <f t="shared" si="1"/>
        <v>8.5173061637401543E-2</v>
      </c>
      <c r="L116" s="2">
        <v>54175</v>
      </c>
      <c r="M116" s="6">
        <v>62378</v>
      </c>
      <c r="N116" s="2">
        <v>75568</v>
      </c>
      <c r="O116" s="4">
        <f t="shared" si="2"/>
        <v>0.82545521914037689</v>
      </c>
      <c r="P116" s="2">
        <v>59794</v>
      </c>
      <c r="Q116" s="6">
        <v>55776.92</v>
      </c>
      <c r="R116" s="2">
        <v>26282295</v>
      </c>
      <c r="S116" s="4">
        <f t="shared" si="3"/>
        <v>2.1222241056193911</v>
      </c>
      <c r="T116" s="2">
        <v>77477</v>
      </c>
      <c r="U116" s="6">
        <v>8755.0499999999993</v>
      </c>
      <c r="V116" s="2">
        <v>125769</v>
      </c>
      <c r="W116" s="7">
        <f t="shared" si="4"/>
        <v>6.9612146077332251E-2</v>
      </c>
      <c r="X116" s="5">
        <v>26217</v>
      </c>
      <c r="Y116" s="6">
        <v>8046.23</v>
      </c>
      <c r="Z116" s="2">
        <v>5199495</v>
      </c>
      <c r="AA116" s="7">
        <f t="shared" si="5"/>
        <v>1.5475022093491773</v>
      </c>
      <c r="AB116" s="5">
        <v>2492</v>
      </c>
    </row>
    <row r="117" spans="1:28" ht="12" customHeight="1" x14ac:dyDescent="0.3">
      <c r="A117" s="13">
        <v>45369</v>
      </c>
      <c r="B117" s="13">
        <v>45375</v>
      </c>
      <c r="C117" s="5">
        <v>12</v>
      </c>
      <c r="D117" s="5">
        <v>2024</v>
      </c>
      <c r="E117" s="6">
        <v>159370</v>
      </c>
      <c r="F117" s="2">
        <v>183584</v>
      </c>
      <c r="G117" s="2">
        <v>169097</v>
      </c>
      <c r="H117" s="2">
        <f t="shared" si="0"/>
        <v>352681</v>
      </c>
      <c r="I117" s="6">
        <v>6751</v>
      </c>
      <c r="J117" s="2">
        <v>67911</v>
      </c>
      <c r="K117" s="4">
        <f t="shared" si="1"/>
        <v>9.9409521285211522E-2</v>
      </c>
      <c r="L117" s="2">
        <v>43560</v>
      </c>
      <c r="M117" s="6">
        <v>70741</v>
      </c>
      <c r="N117" s="2">
        <v>82922</v>
      </c>
      <c r="O117" s="4">
        <f t="shared" si="2"/>
        <v>0.85310291599334309</v>
      </c>
      <c r="P117" s="2">
        <v>55102</v>
      </c>
      <c r="Q117" s="6">
        <v>64735</v>
      </c>
      <c r="R117" s="2">
        <v>29479008</v>
      </c>
      <c r="S117" s="4">
        <f t="shared" si="3"/>
        <v>2.1959694166099482</v>
      </c>
      <c r="T117" s="2">
        <v>68652</v>
      </c>
      <c r="U117" s="6">
        <v>8460</v>
      </c>
      <c r="V117" s="2">
        <v>105147</v>
      </c>
      <c r="W117" s="7">
        <f t="shared" si="4"/>
        <v>8.045878627064966E-2</v>
      </c>
      <c r="X117" s="5">
        <v>20139</v>
      </c>
      <c r="Y117" s="6">
        <v>8683</v>
      </c>
      <c r="Z117" s="2">
        <v>5325575</v>
      </c>
      <c r="AA117" s="7">
        <f t="shared" si="5"/>
        <v>1.6304342723555671</v>
      </c>
      <c r="AB117" s="5">
        <v>1783</v>
      </c>
    </row>
    <row r="118" spans="1:28" ht="12" customHeight="1" x14ac:dyDescent="0.3">
      <c r="A118" s="2"/>
      <c r="B118" s="2"/>
      <c r="C118" s="2"/>
      <c r="D118" s="2"/>
      <c r="E118" s="6"/>
      <c r="F118" s="2"/>
      <c r="G118" s="2"/>
      <c r="H118" s="2"/>
      <c r="I118" s="6"/>
      <c r="J118" s="2"/>
      <c r="K118" s="2"/>
      <c r="L118" s="2"/>
      <c r="M118" s="6"/>
      <c r="N118" s="2"/>
      <c r="O118" s="2"/>
      <c r="P118" s="2"/>
      <c r="Q118" s="6"/>
      <c r="R118" s="2"/>
      <c r="S118" s="2"/>
      <c r="T118" s="2"/>
      <c r="U118" s="2"/>
      <c r="V118" s="2"/>
      <c r="W118" s="2"/>
      <c r="X118" s="2"/>
      <c r="Y118" s="6"/>
      <c r="Z118" s="2"/>
      <c r="AA118" s="5"/>
      <c r="AB118" s="5"/>
    </row>
    <row r="119" spans="1:28" ht="12" customHeight="1" x14ac:dyDescent="0.3">
      <c r="A119" s="2"/>
      <c r="B119" s="2"/>
      <c r="C119" s="2"/>
      <c r="D119" s="2"/>
      <c r="E119" s="6"/>
      <c r="F119" s="2"/>
      <c r="G119" s="2"/>
      <c r="H119" s="2"/>
      <c r="I119" s="6"/>
      <c r="J119" s="2"/>
      <c r="K119" s="2"/>
      <c r="L119" s="2"/>
      <c r="M119" s="6"/>
      <c r="N119" s="2"/>
      <c r="O119" s="2"/>
      <c r="P119" s="2"/>
      <c r="Q119" s="6"/>
      <c r="R119" s="2"/>
      <c r="S119" s="2"/>
      <c r="T119" s="2"/>
      <c r="U119" s="2"/>
      <c r="V119" s="2"/>
      <c r="W119" s="2"/>
      <c r="X119" s="2"/>
      <c r="Y119" s="6"/>
      <c r="Z119" s="2"/>
      <c r="AA119" s="5"/>
      <c r="AB119" s="5"/>
    </row>
    <row r="120" spans="1:28" ht="12" customHeight="1" x14ac:dyDescent="0.3">
      <c r="A120" s="2"/>
      <c r="B120" s="2"/>
      <c r="C120" s="2"/>
      <c r="D120" s="2"/>
      <c r="E120" s="6"/>
      <c r="F120" s="2"/>
      <c r="G120" s="2"/>
      <c r="H120" s="2"/>
      <c r="I120" s="6"/>
      <c r="J120" s="2"/>
      <c r="K120" s="2"/>
      <c r="L120" s="2"/>
      <c r="M120" s="6"/>
      <c r="N120" s="2"/>
      <c r="O120" s="2"/>
      <c r="P120" s="2"/>
      <c r="Q120" s="6"/>
      <c r="R120" s="2"/>
      <c r="S120" s="2"/>
      <c r="T120" s="2"/>
      <c r="U120" s="2"/>
      <c r="V120" s="2"/>
      <c r="W120" s="2"/>
      <c r="X120" s="2"/>
      <c r="Y120" s="6"/>
      <c r="Z120" s="2"/>
      <c r="AA120" s="5"/>
      <c r="AB120" s="5"/>
    </row>
    <row r="121" spans="1:28" ht="12" customHeight="1" x14ac:dyDescent="0.3">
      <c r="A121" s="2"/>
      <c r="B121" s="2"/>
      <c r="C121" s="2"/>
      <c r="D121" s="2"/>
      <c r="E121" s="6"/>
      <c r="F121" s="2"/>
      <c r="G121" s="2"/>
      <c r="H121" s="2"/>
      <c r="I121" s="6"/>
      <c r="J121" s="2"/>
      <c r="K121" s="2"/>
      <c r="L121" s="2"/>
      <c r="M121" s="6"/>
      <c r="N121" s="2"/>
      <c r="O121" s="2"/>
      <c r="P121" s="2"/>
      <c r="Q121" s="6"/>
      <c r="R121" s="2"/>
      <c r="S121" s="2"/>
      <c r="T121" s="2"/>
      <c r="U121" s="2"/>
      <c r="V121" s="2"/>
      <c r="W121" s="2"/>
      <c r="X121" s="2"/>
      <c r="Y121" s="6"/>
      <c r="Z121" s="2"/>
      <c r="AA121" s="5"/>
      <c r="AB121" s="5"/>
    </row>
    <row r="122" spans="1:28" ht="12" customHeight="1" x14ac:dyDescent="0.3">
      <c r="A122" s="2"/>
      <c r="B122" s="2"/>
      <c r="C122" s="2"/>
      <c r="D122" s="2"/>
      <c r="E122" s="6"/>
      <c r="F122" s="2"/>
      <c r="G122" s="2"/>
      <c r="H122" s="2"/>
      <c r="I122" s="6"/>
      <c r="J122" s="2"/>
      <c r="K122" s="2"/>
      <c r="L122" s="2"/>
      <c r="M122" s="6"/>
      <c r="N122" s="2"/>
      <c r="O122" s="2"/>
      <c r="P122" s="2"/>
      <c r="Q122" s="6"/>
      <c r="R122" s="2"/>
      <c r="S122" s="2"/>
      <c r="T122" s="2"/>
      <c r="U122" s="2"/>
      <c r="V122" s="2"/>
      <c r="W122" s="2"/>
      <c r="X122" s="2"/>
      <c r="Y122" s="6"/>
      <c r="Z122" s="2"/>
      <c r="AA122" s="5"/>
      <c r="AB122" s="5"/>
    </row>
    <row r="123" spans="1:28" ht="12" customHeight="1" x14ac:dyDescent="0.3">
      <c r="A123" s="2"/>
      <c r="B123" s="2"/>
      <c r="C123" s="2"/>
      <c r="D123" s="2"/>
      <c r="E123" s="6"/>
      <c r="F123" s="2"/>
      <c r="G123" s="2"/>
      <c r="H123" s="2"/>
      <c r="I123" s="6"/>
      <c r="J123" s="2"/>
      <c r="K123" s="2"/>
      <c r="L123" s="2"/>
      <c r="M123" s="6"/>
      <c r="N123" s="2"/>
      <c r="O123" s="2"/>
      <c r="P123" s="2"/>
      <c r="Q123" s="6"/>
      <c r="R123" s="2"/>
      <c r="S123" s="2"/>
      <c r="T123" s="2"/>
      <c r="U123" s="2"/>
      <c r="V123" s="2"/>
      <c r="W123" s="2"/>
      <c r="X123" s="2"/>
      <c r="Y123" s="6"/>
      <c r="Z123" s="2"/>
      <c r="AA123" s="5"/>
      <c r="AB123" s="5"/>
    </row>
    <row r="124" spans="1:28" ht="12" customHeight="1" x14ac:dyDescent="0.3">
      <c r="A124" s="2"/>
      <c r="B124" s="2"/>
      <c r="C124" s="2"/>
      <c r="D124" s="2"/>
      <c r="E124" s="6"/>
      <c r="F124" s="2"/>
      <c r="G124" s="2"/>
      <c r="H124" s="2"/>
      <c r="I124" s="6"/>
      <c r="J124" s="2"/>
      <c r="K124" s="2"/>
      <c r="L124" s="2"/>
      <c r="M124" s="6"/>
      <c r="N124" s="2"/>
      <c r="O124" s="2"/>
      <c r="P124" s="2"/>
      <c r="Q124" s="6"/>
      <c r="R124" s="2"/>
      <c r="S124" s="2"/>
      <c r="T124" s="2"/>
      <c r="U124" s="2"/>
      <c r="V124" s="2"/>
      <c r="W124" s="2"/>
      <c r="X124" s="2"/>
      <c r="Y124" s="6"/>
      <c r="Z124" s="2"/>
      <c r="AA124" s="5"/>
      <c r="AB124" s="5"/>
    </row>
    <row r="125" spans="1:28" ht="12" customHeight="1" x14ac:dyDescent="0.3">
      <c r="A125" s="2"/>
      <c r="B125" s="2"/>
      <c r="C125" s="2"/>
      <c r="D125" s="2"/>
      <c r="E125" s="6"/>
      <c r="F125" s="2"/>
      <c r="G125" s="2"/>
      <c r="H125" s="2"/>
      <c r="I125" s="6"/>
      <c r="J125" s="2"/>
      <c r="K125" s="2"/>
      <c r="L125" s="2"/>
      <c r="M125" s="6"/>
      <c r="N125" s="2"/>
      <c r="O125" s="2"/>
      <c r="P125" s="2"/>
      <c r="Q125" s="6"/>
      <c r="R125" s="2"/>
      <c r="S125" s="2"/>
      <c r="T125" s="2"/>
      <c r="U125" s="2"/>
      <c r="V125" s="2"/>
      <c r="W125" s="2"/>
      <c r="X125" s="2"/>
      <c r="Y125" s="6"/>
      <c r="Z125" s="2"/>
      <c r="AA125" s="5"/>
      <c r="AB125" s="5"/>
    </row>
    <row r="126" spans="1:28" ht="12" customHeight="1" x14ac:dyDescent="0.3">
      <c r="A126" s="2"/>
      <c r="B126" s="2"/>
      <c r="C126" s="2"/>
      <c r="D126" s="2"/>
      <c r="E126" s="6"/>
      <c r="F126" s="2"/>
      <c r="G126" s="2"/>
      <c r="H126" s="2"/>
      <c r="I126" s="6"/>
      <c r="J126" s="2"/>
      <c r="K126" s="2"/>
      <c r="L126" s="2"/>
      <c r="M126" s="6"/>
      <c r="N126" s="2"/>
      <c r="O126" s="2"/>
      <c r="P126" s="2"/>
      <c r="Q126" s="6"/>
      <c r="R126" s="2"/>
      <c r="S126" s="2"/>
      <c r="T126" s="2"/>
      <c r="U126" s="2"/>
      <c r="V126" s="2"/>
      <c r="W126" s="2"/>
      <c r="X126" s="2"/>
      <c r="Y126" s="6"/>
      <c r="Z126" s="2"/>
      <c r="AA126" s="5"/>
      <c r="AB126" s="5"/>
    </row>
    <row r="127" spans="1:28" ht="12" customHeight="1" x14ac:dyDescent="0.3">
      <c r="A127" s="2"/>
      <c r="B127" s="2"/>
      <c r="C127" s="2"/>
      <c r="D127" s="2"/>
      <c r="E127" s="6"/>
      <c r="F127" s="2"/>
      <c r="G127" s="2"/>
      <c r="H127" s="2"/>
      <c r="I127" s="6"/>
      <c r="J127" s="2"/>
      <c r="K127" s="2"/>
      <c r="L127" s="2"/>
      <c r="M127" s="6"/>
      <c r="N127" s="2"/>
      <c r="O127" s="2"/>
      <c r="P127" s="2"/>
      <c r="Q127" s="6"/>
      <c r="R127" s="2"/>
      <c r="S127" s="2"/>
      <c r="T127" s="2"/>
      <c r="U127" s="2"/>
      <c r="V127" s="2"/>
      <c r="W127" s="2"/>
      <c r="X127" s="2"/>
      <c r="Y127" s="6"/>
      <c r="Z127" s="2"/>
      <c r="AA127" s="5"/>
      <c r="AB127" s="5"/>
    </row>
    <row r="128" spans="1:28" ht="12" customHeight="1" x14ac:dyDescent="0.3">
      <c r="A128" s="2"/>
      <c r="B128" s="2"/>
      <c r="C128" s="2"/>
      <c r="D128" s="2"/>
      <c r="E128" s="6"/>
      <c r="F128" s="2"/>
      <c r="G128" s="2"/>
      <c r="H128" s="2"/>
      <c r="I128" s="6"/>
      <c r="J128" s="2"/>
      <c r="K128" s="2"/>
      <c r="L128" s="2"/>
      <c r="M128" s="6"/>
      <c r="N128" s="2"/>
      <c r="O128" s="2"/>
      <c r="P128" s="2"/>
      <c r="Q128" s="6"/>
      <c r="R128" s="2"/>
      <c r="S128" s="2"/>
      <c r="T128" s="2"/>
      <c r="U128" s="2"/>
      <c r="V128" s="2"/>
      <c r="W128" s="2"/>
      <c r="X128" s="2"/>
      <c r="Y128" s="6"/>
      <c r="Z128" s="2"/>
      <c r="AA128" s="5"/>
      <c r="AB128" s="5"/>
    </row>
    <row r="129" spans="1:28" ht="12" customHeight="1" x14ac:dyDescent="0.3">
      <c r="A129" s="2"/>
      <c r="B129" s="2"/>
      <c r="C129" s="2"/>
      <c r="D129" s="2"/>
      <c r="E129" s="6"/>
      <c r="F129" s="2"/>
      <c r="G129" s="2"/>
      <c r="H129" s="2"/>
      <c r="I129" s="6"/>
      <c r="J129" s="2"/>
      <c r="K129" s="2"/>
      <c r="L129" s="2"/>
      <c r="M129" s="6"/>
      <c r="N129" s="2"/>
      <c r="O129" s="2"/>
      <c r="P129" s="2"/>
      <c r="Q129" s="6"/>
      <c r="R129" s="2"/>
      <c r="S129" s="2"/>
      <c r="T129" s="2"/>
      <c r="U129" s="2"/>
      <c r="V129" s="2"/>
      <c r="W129" s="2"/>
      <c r="X129" s="2"/>
      <c r="Y129" s="6"/>
      <c r="Z129" s="2"/>
      <c r="AA129" s="5"/>
      <c r="AB129" s="5"/>
    </row>
    <row r="130" spans="1:28" ht="12" customHeight="1" x14ac:dyDescent="0.3">
      <c r="A130" s="2"/>
      <c r="B130" s="2"/>
      <c r="C130" s="2"/>
      <c r="D130" s="2"/>
      <c r="E130" s="6"/>
      <c r="F130" s="2"/>
      <c r="G130" s="2"/>
      <c r="H130" s="2"/>
      <c r="I130" s="6"/>
      <c r="J130" s="2"/>
      <c r="K130" s="2"/>
      <c r="L130" s="2"/>
      <c r="M130" s="6"/>
      <c r="N130" s="2"/>
      <c r="O130" s="2"/>
      <c r="P130" s="2"/>
      <c r="Q130" s="6"/>
      <c r="R130" s="2"/>
      <c r="S130" s="2"/>
      <c r="T130" s="2"/>
      <c r="U130" s="2"/>
      <c r="V130" s="2"/>
      <c r="W130" s="2"/>
      <c r="X130" s="2"/>
      <c r="Y130" s="6"/>
      <c r="Z130" s="2"/>
      <c r="AA130" s="5"/>
      <c r="AB130" s="5"/>
    </row>
    <row r="131" spans="1:28" ht="12" customHeight="1" x14ac:dyDescent="0.3">
      <c r="A131" s="2"/>
      <c r="B131" s="2"/>
      <c r="C131" s="2"/>
      <c r="D131" s="2"/>
      <c r="E131" s="6"/>
      <c r="F131" s="2"/>
      <c r="G131" s="2"/>
      <c r="H131" s="2"/>
      <c r="I131" s="6"/>
      <c r="J131" s="2"/>
      <c r="K131" s="2"/>
      <c r="L131" s="2"/>
      <c r="M131" s="6"/>
      <c r="N131" s="2"/>
      <c r="O131" s="2"/>
      <c r="P131" s="2"/>
      <c r="Q131" s="6"/>
      <c r="R131" s="2"/>
      <c r="S131" s="2"/>
      <c r="T131" s="2"/>
      <c r="U131" s="2"/>
      <c r="V131" s="2"/>
      <c r="W131" s="2"/>
      <c r="X131" s="2"/>
      <c r="Y131" s="6"/>
      <c r="Z131" s="2"/>
      <c r="AA131" s="5"/>
      <c r="AB131" s="5"/>
    </row>
    <row r="132" spans="1:28" ht="12" customHeight="1" x14ac:dyDescent="0.3">
      <c r="A132" s="2"/>
      <c r="B132" s="2"/>
      <c r="C132" s="2"/>
      <c r="D132" s="2"/>
      <c r="E132" s="6"/>
      <c r="F132" s="2"/>
      <c r="G132" s="2"/>
      <c r="H132" s="2"/>
      <c r="I132" s="6"/>
      <c r="J132" s="2"/>
      <c r="K132" s="2"/>
      <c r="L132" s="2"/>
      <c r="M132" s="6"/>
      <c r="N132" s="2"/>
      <c r="O132" s="2"/>
      <c r="P132" s="2"/>
      <c r="Q132" s="6"/>
      <c r="R132" s="2"/>
      <c r="S132" s="2"/>
      <c r="T132" s="2"/>
      <c r="U132" s="2"/>
      <c r="V132" s="2"/>
      <c r="W132" s="2"/>
      <c r="X132" s="2"/>
      <c r="Y132" s="6"/>
      <c r="Z132" s="2"/>
      <c r="AA132" s="5"/>
      <c r="AB132" s="5"/>
    </row>
    <row r="133" spans="1:28" ht="12" customHeight="1" x14ac:dyDescent="0.3">
      <c r="A133" s="2"/>
      <c r="B133" s="2"/>
      <c r="C133" s="2"/>
      <c r="D133" s="2"/>
      <c r="E133" s="6"/>
      <c r="F133" s="2"/>
      <c r="G133" s="2"/>
      <c r="H133" s="2"/>
      <c r="I133" s="6"/>
      <c r="J133" s="2"/>
      <c r="K133" s="2"/>
      <c r="L133" s="2"/>
      <c r="M133" s="6"/>
      <c r="N133" s="2"/>
      <c r="O133" s="2"/>
      <c r="P133" s="2"/>
      <c r="Q133" s="6"/>
      <c r="R133" s="2"/>
      <c r="S133" s="2"/>
      <c r="T133" s="2"/>
      <c r="U133" s="2"/>
      <c r="V133" s="2"/>
      <c r="W133" s="2"/>
      <c r="X133" s="2"/>
      <c r="Y133" s="6"/>
      <c r="Z133" s="2"/>
      <c r="AA133" s="5"/>
      <c r="AB133" s="5"/>
    </row>
    <row r="134" spans="1:28" ht="12" customHeight="1" x14ac:dyDescent="0.3">
      <c r="A134" s="2"/>
      <c r="B134" s="2"/>
      <c r="C134" s="2"/>
      <c r="D134" s="2"/>
      <c r="E134" s="6"/>
      <c r="F134" s="2"/>
      <c r="G134" s="2"/>
      <c r="H134" s="2"/>
      <c r="I134" s="6"/>
      <c r="J134" s="2"/>
      <c r="K134" s="2"/>
      <c r="L134" s="2"/>
      <c r="M134" s="6"/>
      <c r="N134" s="2"/>
      <c r="O134" s="2"/>
      <c r="P134" s="2"/>
      <c r="Q134" s="6"/>
      <c r="R134" s="2"/>
      <c r="S134" s="2"/>
      <c r="T134" s="2"/>
      <c r="U134" s="2"/>
      <c r="V134" s="2"/>
      <c r="W134" s="2"/>
      <c r="X134" s="2"/>
      <c r="Y134" s="6"/>
      <c r="Z134" s="2"/>
      <c r="AA134" s="5"/>
      <c r="AB134" s="5"/>
    </row>
    <row r="135" spans="1:28" ht="12" customHeight="1" x14ac:dyDescent="0.3">
      <c r="A135" s="2"/>
      <c r="B135" s="2"/>
      <c r="C135" s="2"/>
      <c r="D135" s="2"/>
      <c r="E135" s="6"/>
      <c r="F135" s="2"/>
      <c r="G135" s="2"/>
      <c r="H135" s="2"/>
      <c r="I135" s="6"/>
      <c r="J135" s="2"/>
      <c r="K135" s="2"/>
      <c r="L135" s="2"/>
      <c r="M135" s="6"/>
      <c r="N135" s="2"/>
      <c r="O135" s="2"/>
      <c r="P135" s="2"/>
      <c r="Q135" s="6"/>
      <c r="R135" s="2"/>
      <c r="S135" s="2"/>
      <c r="T135" s="2"/>
      <c r="U135" s="2"/>
      <c r="V135" s="2"/>
      <c r="W135" s="2"/>
      <c r="X135" s="2"/>
      <c r="Y135" s="6"/>
      <c r="Z135" s="2"/>
      <c r="AA135" s="5"/>
      <c r="AB135" s="5"/>
    </row>
    <row r="136" spans="1:28" ht="12" customHeight="1" x14ac:dyDescent="0.3">
      <c r="A136" s="2"/>
      <c r="B136" s="2"/>
      <c r="C136" s="2"/>
      <c r="D136" s="2"/>
      <c r="E136" s="6"/>
      <c r="F136" s="2"/>
      <c r="G136" s="2"/>
      <c r="H136" s="2"/>
      <c r="I136" s="6"/>
      <c r="J136" s="2"/>
      <c r="K136" s="2"/>
      <c r="L136" s="2"/>
      <c r="M136" s="6"/>
      <c r="N136" s="2"/>
      <c r="O136" s="2"/>
      <c r="P136" s="2"/>
      <c r="Q136" s="6"/>
      <c r="R136" s="2"/>
      <c r="S136" s="2"/>
      <c r="T136" s="2"/>
      <c r="U136" s="2"/>
      <c r="V136" s="2"/>
      <c r="W136" s="2"/>
      <c r="X136" s="2"/>
      <c r="Y136" s="6"/>
      <c r="Z136" s="2"/>
      <c r="AA136" s="5"/>
      <c r="AB136" s="5"/>
    </row>
    <row r="137" spans="1:28" ht="12" customHeight="1" x14ac:dyDescent="0.3">
      <c r="A137" s="2"/>
      <c r="B137" s="2"/>
      <c r="C137" s="2"/>
      <c r="D137" s="2"/>
      <c r="E137" s="6"/>
      <c r="F137" s="2"/>
      <c r="G137" s="2"/>
      <c r="H137" s="2"/>
      <c r="I137" s="6"/>
      <c r="J137" s="2"/>
      <c r="K137" s="2"/>
      <c r="L137" s="2"/>
      <c r="M137" s="6"/>
      <c r="N137" s="2"/>
      <c r="O137" s="2"/>
      <c r="P137" s="2"/>
      <c r="Q137" s="6"/>
      <c r="R137" s="2"/>
      <c r="S137" s="2"/>
      <c r="T137" s="2"/>
      <c r="U137" s="2"/>
      <c r="V137" s="2"/>
      <c r="W137" s="2"/>
      <c r="X137" s="2"/>
      <c r="Y137" s="6"/>
      <c r="Z137" s="2"/>
      <c r="AA137" s="5"/>
      <c r="AB137" s="5"/>
    </row>
    <row r="138" spans="1:28" ht="12" customHeight="1" x14ac:dyDescent="0.3">
      <c r="A138" s="2"/>
      <c r="B138" s="2"/>
      <c r="C138" s="2"/>
      <c r="D138" s="2"/>
      <c r="E138" s="6"/>
      <c r="F138" s="2"/>
      <c r="G138" s="2"/>
      <c r="H138" s="2"/>
      <c r="I138" s="6"/>
      <c r="J138" s="2"/>
      <c r="K138" s="2"/>
      <c r="L138" s="2"/>
      <c r="M138" s="6"/>
      <c r="N138" s="2"/>
      <c r="O138" s="2"/>
      <c r="P138" s="2"/>
      <c r="Q138" s="6"/>
      <c r="R138" s="2"/>
      <c r="S138" s="2"/>
      <c r="T138" s="2"/>
      <c r="U138" s="2"/>
      <c r="V138" s="2"/>
      <c r="W138" s="2"/>
      <c r="X138" s="2"/>
      <c r="Y138" s="6"/>
      <c r="Z138" s="2"/>
      <c r="AA138" s="5"/>
      <c r="AB138" s="5"/>
    </row>
    <row r="139" spans="1:28" ht="12" customHeight="1" x14ac:dyDescent="0.3">
      <c r="A139" s="2"/>
      <c r="B139" s="2"/>
      <c r="C139" s="2"/>
      <c r="D139" s="2"/>
      <c r="E139" s="6"/>
      <c r="F139" s="2"/>
      <c r="G139" s="2"/>
      <c r="H139" s="2"/>
      <c r="I139" s="6"/>
      <c r="J139" s="2"/>
      <c r="K139" s="2"/>
      <c r="L139" s="2"/>
      <c r="M139" s="6"/>
      <c r="N139" s="2"/>
      <c r="O139" s="2"/>
      <c r="P139" s="2"/>
      <c r="Q139" s="6"/>
      <c r="R139" s="2"/>
      <c r="S139" s="2"/>
      <c r="T139" s="2"/>
      <c r="U139" s="2"/>
      <c r="V139" s="2"/>
      <c r="W139" s="2"/>
      <c r="X139" s="2"/>
      <c r="Y139" s="6"/>
      <c r="Z139" s="2"/>
      <c r="AA139" s="5"/>
      <c r="AB139" s="5"/>
    </row>
    <row r="140" spans="1:28" ht="12" customHeight="1" x14ac:dyDescent="0.3">
      <c r="A140" s="2"/>
      <c r="B140" s="2"/>
      <c r="C140" s="2"/>
      <c r="D140" s="2"/>
      <c r="E140" s="6"/>
      <c r="F140" s="2"/>
      <c r="G140" s="2"/>
      <c r="H140" s="2"/>
      <c r="I140" s="6"/>
      <c r="J140" s="2"/>
      <c r="K140" s="2"/>
      <c r="L140" s="2"/>
      <c r="M140" s="6"/>
      <c r="N140" s="2"/>
      <c r="O140" s="2"/>
      <c r="P140" s="2"/>
      <c r="Q140" s="6"/>
      <c r="R140" s="2"/>
      <c r="S140" s="2"/>
      <c r="T140" s="2"/>
      <c r="U140" s="2"/>
      <c r="V140" s="2"/>
      <c r="W140" s="2"/>
      <c r="X140" s="2"/>
      <c r="Y140" s="6"/>
      <c r="Z140" s="2"/>
      <c r="AA140" s="5"/>
      <c r="AB140" s="5"/>
    </row>
    <row r="141" spans="1:28" ht="12" customHeight="1" x14ac:dyDescent="0.3">
      <c r="A141" s="2"/>
      <c r="B141" s="2"/>
      <c r="C141" s="2"/>
      <c r="D141" s="2"/>
      <c r="E141" s="6"/>
      <c r="F141" s="2"/>
      <c r="G141" s="2"/>
      <c r="H141" s="2"/>
      <c r="I141" s="6"/>
      <c r="J141" s="2"/>
      <c r="K141" s="2"/>
      <c r="L141" s="2"/>
      <c r="M141" s="6"/>
      <c r="N141" s="2"/>
      <c r="O141" s="2"/>
      <c r="P141" s="2"/>
      <c r="Q141" s="6"/>
      <c r="R141" s="2"/>
      <c r="S141" s="2"/>
      <c r="T141" s="2"/>
      <c r="U141" s="2"/>
      <c r="V141" s="2"/>
      <c r="W141" s="2"/>
      <c r="X141" s="2"/>
      <c r="Y141" s="6"/>
      <c r="Z141" s="2"/>
      <c r="AA141" s="5"/>
      <c r="AB141" s="5"/>
    </row>
    <row r="142" spans="1:28" ht="12" customHeight="1" x14ac:dyDescent="0.3">
      <c r="A142" s="2"/>
      <c r="B142" s="2"/>
      <c r="C142" s="2"/>
      <c r="D142" s="2"/>
      <c r="E142" s="6"/>
      <c r="F142" s="2"/>
      <c r="G142" s="2"/>
      <c r="H142" s="2"/>
      <c r="I142" s="6"/>
      <c r="J142" s="2"/>
      <c r="K142" s="2"/>
      <c r="L142" s="2"/>
      <c r="M142" s="6"/>
      <c r="N142" s="2"/>
      <c r="O142" s="2"/>
      <c r="P142" s="2"/>
      <c r="Q142" s="6"/>
      <c r="R142" s="2"/>
      <c r="S142" s="2"/>
      <c r="T142" s="2"/>
      <c r="U142" s="2"/>
      <c r="V142" s="2"/>
      <c r="W142" s="2"/>
      <c r="X142" s="2"/>
      <c r="Y142" s="6"/>
      <c r="Z142" s="2"/>
      <c r="AA142" s="5"/>
      <c r="AB142" s="5"/>
    </row>
    <row r="143" spans="1:28" ht="12" customHeight="1" x14ac:dyDescent="0.3">
      <c r="A143" s="2"/>
      <c r="B143" s="2"/>
      <c r="C143" s="2"/>
      <c r="D143" s="2"/>
      <c r="E143" s="6"/>
      <c r="F143" s="2"/>
      <c r="G143" s="2"/>
      <c r="H143" s="2"/>
      <c r="I143" s="6"/>
      <c r="J143" s="2"/>
      <c r="K143" s="2"/>
      <c r="L143" s="2"/>
      <c r="M143" s="6"/>
      <c r="N143" s="2"/>
      <c r="O143" s="2"/>
      <c r="P143" s="2"/>
      <c r="Q143" s="6"/>
      <c r="R143" s="2"/>
      <c r="S143" s="2"/>
      <c r="T143" s="2"/>
      <c r="U143" s="2"/>
      <c r="V143" s="2"/>
      <c r="W143" s="2"/>
      <c r="X143" s="2"/>
      <c r="Y143" s="6"/>
      <c r="Z143" s="2"/>
      <c r="AA143" s="5"/>
      <c r="AB143" s="5"/>
    </row>
    <row r="144" spans="1:28" ht="12" customHeight="1" x14ac:dyDescent="0.3">
      <c r="A144" s="2"/>
      <c r="B144" s="2"/>
      <c r="C144" s="2"/>
      <c r="D144" s="2"/>
      <c r="E144" s="6"/>
      <c r="F144" s="2"/>
      <c r="G144" s="2"/>
      <c r="H144" s="2"/>
      <c r="I144" s="6"/>
      <c r="J144" s="2"/>
      <c r="K144" s="2"/>
      <c r="L144" s="2"/>
      <c r="M144" s="6"/>
      <c r="N144" s="2"/>
      <c r="O144" s="2"/>
      <c r="P144" s="2"/>
      <c r="Q144" s="6"/>
      <c r="R144" s="2"/>
      <c r="S144" s="2"/>
      <c r="T144" s="2"/>
      <c r="U144" s="2"/>
      <c r="V144" s="2"/>
      <c r="W144" s="2"/>
      <c r="X144" s="2"/>
      <c r="Y144" s="6"/>
      <c r="Z144" s="2"/>
      <c r="AA144" s="5"/>
      <c r="AB144" s="5"/>
    </row>
    <row r="145" spans="1:28" ht="12" customHeight="1" x14ac:dyDescent="0.3">
      <c r="A145" s="2"/>
      <c r="B145" s="2"/>
      <c r="C145" s="2"/>
      <c r="D145" s="2"/>
      <c r="E145" s="6"/>
      <c r="F145" s="2"/>
      <c r="G145" s="2"/>
      <c r="H145" s="2"/>
      <c r="I145" s="6"/>
      <c r="J145" s="2"/>
      <c r="K145" s="2"/>
      <c r="L145" s="2"/>
      <c r="M145" s="6"/>
      <c r="N145" s="2"/>
      <c r="O145" s="2"/>
      <c r="P145" s="2"/>
      <c r="Q145" s="6"/>
      <c r="R145" s="2"/>
      <c r="S145" s="2"/>
      <c r="T145" s="2"/>
      <c r="U145" s="2"/>
      <c r="V145" s="2"/>
      <c r="W145" s="2"/>
      <c r="X145" s="2"/>
      <c r="Y145" s="6"/>
      <c r="Z145" s="2"/>
      <c r="AA145" s="5"/>
      <c r="AB145" s="5"/>
    </row>
    <row r="146" spans="1:28" ht="12" customHeight="1" x14ac:dyDescent="0.3">
      <c r="A146" s="2"/>
      <c r="B146" s="2"/>
      <c r="C146" s="2"/>
      <c r="D146" s="2"/>
      <c r="E146" s="6"/>
      <c r="F146" s="2"/>
      <c r="G146" s="2"/>
      <c r="H146" s="2"/>
      <c r="I146" s="6"/>
      <c r="J146" s="2"/>
      <c r="K146" s="2"/>
      <c r="L146" s="2"/>
      <c r="M146" s="6"/>
      <c r="N146" s="2"/>
      <c r="O146" s="2"/>
      <c r="P146" s="2"/>
      <c r="Q146" s="6"/>
      <c r="R146" s="2"/>
      <c r="S146" s="2"/>
      <c r="T146" s="2"/>
      <c r="U146" s="2"/>
      <c r="V146" s="2"/>
      <c r="W146" s="2"/>
      <c r="X146" s="2"/>
      <c r="Y146" s="6"/>
      <c r="Z146" s="2"/>
      <c r="AA146" s="5"/>
      <c r="AB146" s="5"/>
    </row>
    <row r="147" spans="1:28" ht="12" customHeight="1" x14ac:dyDescent="0.3">
      <c r="A147" s="2"/>
      <c r="B147" s="2"/>
      <c r="C147" s="2"/>
      <c r="D147" s="2"/>
      <c r="E147" s="6"/>
      <c r="F147" s="2"/>
      <c r="G147" s="2"/>
      <c r="H147" s="2"/>
      <c r="I147" s="6"/>
      <c r="J147" s="2"/>
      <c r="K147" s="2"/>
      <c r="L147" s="2"/>
      <c r="M147" s="6"/>
      <c r="N147" s="2"/>
      <c r="O147" s="2"/>
      <c r="P147" s="2"/>
      <c r="Q147" s="6"/>
      <c r="R147" s="2"/>
      <c r="S147" s="2"/>
      <c r="T147" s="2"/>
      <c r="U147" s="2"/>
      <c r="V147" s="2"/>
      <c r="W147" s="2"/>
      <c r="X147" s="2"/>
      <c r="Y147" s="6"/>
      <c r="Z147" s="2"/>
      <c r="AA147" s="5"/>
      <c r="AB147" s="5"/>
    </row>
    <row r="148" spans="1:28" ht="12" customHeight="1" x14ac:dyDescent="0.3">
      <c r="A148" s="2"/>
      <c r="B148" s="2"/>
      <c r="C148" s="2"/>
      <c r="D148" s="2"/>
      <c r="E148" s="6"/>
      <c r="F148" s="2"/>
      <c r="G148" s="2"/>
      <c r="H148" s="2"/>
      <c r="I148" s="6"/>
      <c r="J148" s="2"/>
      <c r="K148" s="2"/>
      <c r="L148" s="2"/>
      <c r="M148" s="6"/>
      <c r="N148" s="2"/>
      <c r="O148" s="2"/>
      <c r="P148" s="2"/>
      <c r="Q148" s="6"/>
      <c r="R148" s="2"/>
      <c r="S148" s="2"/>
      <c r="T148" s="2"/>
      <c r="U148" s="2"/>
      <c r="V148" s="2"/>
      <c r="W148" s="2"/>
      <c r="X148" s="2"/>
      <c r="Y148" s="6"/>
      <c r="Z148" s="2"/>
      <c r="AA148" s="5"/>
      <c r="AB148" s="5"/>
    </row>
    <row r="149" spans="1:28" ht="12" customHeight="1" x14ac:dyDescent="0.3">
      <c r="A149" s="2"/>
      <c r="B149" s="2"/>
      <c r="C149" s="2"/>
      <c r="D149" s="2"/>
      <c r="E149" s="6"/>
      <c r="F149" s="2"/>
      <c r="G149" s="2"/>
      <c r="H149" s="2"/>
      <c r="I149" s="6"/>
      <c r="J149" s="2"/>
      <c r="K149" s="2"/>
      <c r="L149" s="2"/>
      <c r="M149" s="6"/>
      <c r="N149" s="2"/>
      <c r="O149" s="2"/>
      <c r="P149" s="2"/>
      <c r="Q149" s="6"/>
      <c r="R149" s="2"/>
      <c r="S149" s="2"/>
      <c r="T149" s="2"/>
      <c r="U149" s="2"/>
      <c r="V149" s="2"/>
      <c r="W149" s="2"/>
      <c r="X149" s="2"/>
      <c r="Y149" s="6"/>
      <c r="Z149" s="2"/>
      <c r="AA149" s="5"/>
      <c r="AB149" s="5"/>
    </row>
    <row r="150" spans="1:28" ht="12" customHeight="1" x14ac:dyDescent="0.3">
      <c r="A150" s="2"/>
      <c r="B150" s="2"/>
      <c r="C150" s="2"/>
      <c r="D150" s="2"/>
      <c r="E150" s="6"/>
      <c r="F150" s="2"/>
      <c r="G150" s="2"/>
      <c r="H150" s="2"/>
      <c r="I150" s="6"/>
      <c r="J150" s="2"/>
      <c r="K150" s="2"/>
      <c r="L150" s="2"/>
      <c r="M150" s="6"/>
      <c r="N150" s="2"/>
      <c r="O150" s="2"/>
      <c r="P150" s="2"/>
      <c r="Q150" s="6"/>
      <c r="R150" s="2"/>
      <c r="S150" s="2"/>
      <c r="T150" s="2"/>
      <c r="U150" s="2"/>
      <c r="V150" s="2"/>
      <c r="W150" s="2"/>
      <c r="X150" s="2"/>
      <c r="Y150" s="6"/>
      <c r="Z150" s="2"/>
      <c r="AA150" s="5"/>
      <c r="AB150" s="5"/>
    </row>
    <row r="151" spans="1:28" ht="12" customHeight="1" x14ac:dyDescent="0.3">
      <c r="A151" s="2"/>
      <c r="B151" s="2"/>
      <c r="C151" s="2"/>
      <c r="D151" s="2"/>
      <c r="E151" s="6"/>
      <c r="F151" s="2"/>
      <c r="G151" s="2"/>
      <c r="H151" s="2"/>
      <c r="I151" s="6"/>
      <c r="J151" s="2"/>
      <c r="K151" s="2"/>
      <c r="L151" s="2"/>
      <c r="M151" s="6"/>
      <c r="N151" s="2"/>
      <c r="O151" s="2"/>
      <c r="P151" s="2"/>
      <c r="Q151" s="6"/>
      <c r="R151" s="2"/>
      <c r="S151" s="2"/>
      <c r="T151" s="2"/>
      <c r="U151" s="2"/>
      <c r="V151" s="2"/>
      <c r="W151" s="2"/>
      <c r="X151" s="2"/>
      <c r="Y151" s="6"/>
      <c r="Z151" s="2"/>
      <c r="AA151" s="5"/>
      <c r="AB151" s="5"/>
    </row>
    <row r="152" spans="1:28" ht="12" customHeight="1" x14ac:dyDescent="0.3">
      <c r="A152" s="2"/>
      <c r="B152" s="2"/>
      <c r="C152" s="2"/>
      <c r="D152" s="2"/>
      <c r="E152" s="6"/>
      <c r="F152" s="2"/>
      <c r="G152" s="2"/>
      <c r="H152" s="2"/>
      <c r="I152" s="6"/>
      <c r="J152" s="2"/>
      <c r="K152" s="2"/>
      <c r="L152" s="2"/>
      <c r="M152" s="6"/>
      <c r="N152" s="2"/>
      <c r="O152" s="2"/>
      <c r="P152" s="2"/>
      <c r="Q152" s="6"/>
      <c r="R152" s="2"/>
      <c r="S152" s="2"/>
      <c r="T152" s="2"/>
      <c r="U152" s="2"/>
      <c r="V152" s="2"/>
      <c r="W152" s="2"/>
      <c r="X152" s="2"/>
      <c r="Y152" s="6"/>
      <c r="Z152" s="2"/>
      <c r="AA152" s="5"/>
      <c r="AB152" s="5"/>
    </row>
    <row r="153" spans="1:28" ht="12" customHeight="1" x14ac:dyDescent="0.3">
      <c r="A153" s="2"/>
      <c r="B153" s="2"/>
      <c r="C153" s="2"/>
      <c r="D153" s="2"/>
      <c r="E153" s="6"/>
      <c r="F153" s="2"/>
      <c r="G153" s="2"/>
      <c r="H153" s="2"/>
      <c r="I153" s="6"/>
      <c r="J153" s="2"/>
      <c r="K153" s="2"/>
      <c r="L153" s="2"/>
      <c r="M153" s="6"/>
      <c r="N153" s="2"/>
      <c r="O153" s="2"/>
      <c r="P153" s="2"/>
      <c r="Q153" s="6"/>
      <c r="R153" s="2"/>
      <c r="S153" s="2"/>
      <c r="T153" s="2"/>
      <c r="U153" s="2"/>
      <c r="V153" s="2"/>
      <c r="W153" s="2"/>
      <c r="X153" s="2"/>
      <c r="Y153" s="6"/>
      <c r="Z153" s="2"/>
      <c r="AA153" s="5"/>
      <c r="AB153" s="5"/>
    </row>
    <row r="154" spans="1:28" ht="12" customHeight="1" x14ac:dyDescent="0.3">
      <c r="A154" s="2"/>
      <c r="B154" s="2"/>
      <c r="C154" s="2"/>
      <c r="D154" s="2"/>
      <c r="E154" s="6"/>
      <c r="F154" s="2"/>
      <c r="G154" s="2"/>
      <c r="H154" s="2"/>
      <c r="I154" s="6"/>
      <c r="J154" s="2"/>
      <c r="K154" s="2"/>
      <c r="L154" s="2"/>
      <c r="M154" s="6"/>
      <c r="N154" s="2"/>
      <c r="O154" s="2"/>
      <c r="P154" s="2"/>
      <c r="Q154" s="6"/>
      <c r="R154" s="2"/>
      <c r="S154" s="2"/>
      <c r="T154" s="2"/>
      <c r="U154" s="2"/>
      <c r="V154" s="2"/>
      <c r="W154" s="2"/>
      <c r="X154" s="2"/>
      <c r="Y154" s="6"/>
      <c r="Z154" s="2"/>
      <c r="AA154" s="5"/>
      <c r="AB154" s="5"/>
    </row>
    <row r="155" spans="1:28" ht="12" customHeight="1" x14ac:dyDescent="0.3">
      <c r="A155" s="2"/>
      <c r="B155" s="2"/>
      <c r="C155" s="2"/>
      <c r="D155" s="2"/>
      <c r="E155" s="6"/>
      <c r="F155" s="2"/>
      <c r="G155" s="2"/>
      <c r="H155" s="2"/>
      <c r="I155" s="6"/>
      <c r="J155" s="2"/>
      <c r="K155" s="2"/>
      <c r="L155" s="2"/>
      <c r="M155" s="6"/>
      <c r="N155" s="2"/>
      <c r="O155" s="2"/>
      <c r="P155" s="2"/>
      <c r="Q155" s="6"/>
      <c r="R155" s="2"/>
      <c r="S155" s="2"/>
      <c r="T155" s="2"/>
      <c r="U155" s="2"/>
      <c r="V155" s="2"/>
      <c r="W155" s="2"/>
      <c r="X155" s="2"/>
      <c r="Y155" s="6"/>
      <c r="Z155" s="2"/>
      <c r="AA155" s="5"/>
      <c r="AB155" s="5"/>
    </row>
    <row r="156" spans="1:28" ht="12" customHeight="1" x14ac:dyDescent="0.3">
      <c r="A156" s="2"/>
      <c r="B156" s="2"/>
      <c r="C156" s="2"/>
      <c r="D156" s="2"/>
      <c r="E156" s="6"/>
      <c r="F156" s="2"/>
      <c r="G156" s="2"/>
      <c r="H156" s="2"/>
      <c r="I156" s="6"/>
      <c r="J156" s="2"/>
      <c r="K156" s="2"/>
      <c r="L156" s="2"/>
      <c r="M156" s="6"/>
      <c r="N156" s="2"/>
      <c r="O156" s="2"/>
      <c r="P156" s="2"/>
      <c r="Q156" s="6"/>
      <c r="R156" s="2"/>
      <c r="S156" s="2"/>
      <c r="T156" s="2"/>
      <c r="U156" s="2"/>
      <c r="V156" s="2"/>
      <c r="W156" s="2"/>
      <c r="X156" s="2"/>
      <c r="Y156" s="6"/>
      <c r="Z156" s="2"/>
      <c r="AA156" s="5"/>
      <c r="AB156" s="5"/>
    </row>
    <row r="157" spans="1:28" ht="12" customHeight="1" x14ac:dyDescent="0.3">
      <c r="A157" s="2"/>
      <c r="B157" s="2"/>
      <c r="C157" s="2"/>
      <c r="D157" s="2"/>
      <c r="E157" s="6"/>
      <c r="F157" s="2"/>
      <c r="G157" s="2"/>
      <c r="H157" s="2"/>
      <c r="I157" s="6"/>
      <c r="J157" s="2"/>
      <c r="K157" s="2"/>
      <c r="L157" s="2"/>
      <c r="M157" s="6"/>
      <c r="N157" s="2"/>
      <c r="O157" s="2"/>
      <c r="P157" s="2"/>
      <c r="Q157" s="6"/>
      <c r="R157" s="2"/>
      <c r="S157" s="2"/>
      <c r="T157" s="2"/>
      <c r="U157" s="2"/>
      <c r="V157" s="2"/>
      <c r="W157" s="2"/>
      <c r="X157" s="2"/>
      <c r="Y157" s="6"/>
      <c r="Z157" s="2"/>
      <c r="AA157" s="5"/>
      <c r="AB157" s="5"/>
    </row>
    <row r="158" spans="1:28" ht="12" customHeight="1" x14ac:dyDescent="0.3">
      <c r="A158" s="2"/>
      <c r="B158" s="2"/>
      <c r="C158" s="2"/>
      <c r="D158" s="2"/>
      <c r="E158" s="6"/>
      <c r="F158" s="2"/>
      <c r="G158" s="2"/>
      <c r="H158" s="2"/>
      <c r="I158" s="6"/>
      <c r="J158" s="2"/>
      <c r="K158" s="2"/>
      <c r="L158" s="2"/>
      <c r="M158" s="6"/>
      <c r="N158" s="2"/>
      <c r="O158" s="2"/>
      <c r="P158" s="2"/>
      <c r="Q158" s="6"/>
      <c r="R158" s="2"/>
      <c r="S158" s="2"/>
      <c r="T158" s="2"/>
      <c r="U158" s="2"/>
      <c r="V158" s="2"/>
      <c r="W158" s="2"/>
      <c r="X158" s="2"/>
      <c r="Y158" s="6"/>
      <c r="Z158" s="2"/>
      <c r="AA158" s="5"/>
      <c r="AB158" s="5"/>
    </row>
    <row r="159" spans="1:28" ht="12" customHeight="1" x14ac:dyDescent="0.3">
      <c r="A159" s="2"/>
      <c r="B159" s="2"/>
      <c r="C159" s="2"/>
      <c r="D159" s="2"/>
      <c r="E159" s="6"/>
      <c r="F159" s="2"/>
      <c r="G159" s="2"/>
      <c r="H159" s="2"/>
      <c r="I159" s="6"/>
      <c r="J159" s="2"/>
      <c r="K159" s="2"/>
      <c r="L159" s="2"/>
      <c r="M159" s="6"/>
      <c r="N159" s="2"/>
      <c r="O159" s="2"/>
      <c r="P159" s="2"/>
      <c r="Q159" s="6"/>
      <c r="R159" s="2"/>
      <c r="S159" s="2"/>
      <c r="T159" s="2"/>
      <c r="U159" s="2"/>
      <c r="V159" s="2"/>
      <c r="W159" s="2"/>
      <c r="X159" s="2"/>
      <c r="Y159" s="6"/>
      <c r="Z159" s="2"/>
      <c r="AA159" s="5"/>
      <c r="AB159" s="5"/>
    </row>
    <row r="160" spans="1:28" ht="12" customHeight="1" x14ac:dyDescent="0.3">
      <c r="A160" s="2"/>
      <c r="B160" s="2"/>
      <c r="C160" s="2"/>
      <c r="D160" s="2"/>
      <c r="E160" s="6"/>
      <c r="F160" s="2"/>
      <c r="G160" s="2"/>
      <c r="H160" s="2"/>
      <c r="I160" s="6"/>
      <c r="J160" s="2"/>
      <c r="K160" s="2"/>
      <c r="L160" s="2"/>
      <c r="M160" s="6"/>
      <c r="N160" s="2"/>
      <c r="O160" s="2"/>
      <c r="P160" s="2"/>
      <c r="Q160" s="6"/>
      <c r="R160" s="2"/>
      <c r="S160" s="2"/>
      <c r="T160" s="2"/>
      <c r="U160" s="2"/>
      <c r="V160" s="2"/>
      <c r="W160" s="2"/>
      <c r="X160" s="2"/>
      <c r="Y160" s="6"/>
      <c r="Z160" s="2"/>
      <c r="AA160" s="5"/>
      <c r="AB160" s="5"/>
    </row>
    <row r="161" spans="1:28" ht="12" customHeight="1" x14ac:dyDescent="0.3">
      <c r="A161" s="2"/>
      <c r="B161" s="2"/>
      <c r="C161" s="2"/>
      <c r="D161" s="2"/>
      <c r="E161" s="6"/>
      <c r="F161" s="2"/>
      <c r="G161" s="2"/>
      <c r="H161" s="2"/>
      <c r="I161" s="6"/>
      <c r="J161" s="2"/>
      <c r="K161" s="2"/>
      <c r="L161" s="2"/>
      <c r="M161" s="6"/>
      <c r="N161" s="2"/>
      <c r="O161" s="2"/>
      <c r="P161" s="2"/>
      <c r="Q161" s="6"/>
      <c r="R161" s="2"/>
      <c r="S161" s="2"/>
      <c r="T161" s="2"/>
      <c r="U161" s="2"/>
      <c r="V161" s="2"/>
      <c r="W161" s="2"/>
      <c r="X161" s="2"/>
      <c r="Y161" s="6"/>
      <c r="Z161" s="2"/>
      <c r="AA161" s="5"/>
      <c r="AB161" s="5"/>
    </row>
    <row r="162" spans="1:28" ht="12" customHeight="1" x14ac:dyDescent="0.3">
      <c r="A162" s="2"/>
      <c r="B162" s="2"/>
      <c r="C162" s="2"/>
      <c r="D162" s="2"/>
      <c r="E162" s="6"/>
      <c r="F162" s="2"/>
      <c r="G162" s="2"/>
      <c r="H162" s="2"/>
      <c r="I162" s="6"/>
      <c r="J162" s="2"/>
      <c r="K162" s="2"/>
      <c r="L162" s="2"/>
      <c r="M162" s="6"/>
      <c r="N162" s="2"/>
      <c r="O162" s="2"/>
      <c r="P162" s="2"/>
      <c r="Q162" s="6"/>
      <c r="R162" s="2"/>
      <c r="S162" s="2"/>
      <c r="T162" s="2"/>
      <c r="U162" s="2"/>
      <c r="V162" s="2"/>
      <c r="W162" s="2"/>
      <c r="X162" s="2"/>
      <c r="Y162" s="6"/>
      <c r="Z162" s="2"/>
      <c r="AA162" s="5"/>
      <c r="AB162" s="5"/>
    </row>
    <row r="163" spans="1:28" ht="12" customHeight="1" x14ac:dyDescent="0.3">
      <c r="A163" s="2"/>
      <c r="B163" s="2"/>
      <c r="C163" s="2"/>
      <c r="D163" s="2"/>
      <c r="E163" s="6"/>
      <c r="F163" s="2"/>
      <c r="G163" s="2"/>
      <c r="H163" s="2"/>
      <c r="I163" s="6"/>
      <c r="J163" s="2"/>
      <c r="K163" s="2"/>
      <c r="L163" s="2"/>
      <c r="M163" s="6"/>
      <c r="N163" s="2"/>
      <c r="O163" s="2"/>
      <c r="P163" s="2"/>
      <c r="Q163" s="6"/>
      <c r="R163" s="2"/>
      <c r="S163" s="2"/>
      <c r="T163" s="2"/>
      <c r="U163" s="2"/>
      <c r="V163" s="2"/>
      <c r="W163" s="2"/>
      <c r="X163" s="2"/>
      <c r="Y163" s="6"/>
      <c r="Z163" s="2"/>
      <c r="AA163" s="5"/>
      <c r="AB163" s="5"/>
    </row>
    <row r="164" spans="1:28" ht="12" customHeight="1" x14ac:dyDescent="0.3">
      <c r="A164" s="2"/>
      <c r="B164" s="2"/>
      <c r="C164" s="2"/>
      <c r="D164" s="2"/>
      <c r="E164" s="6"/>
      <c r="F164" s="2"/>
      <c r="G164" s="2"/>
      <c r="H164" s="2"/>
      <c r="I164" s="6"/>
      <c r="J164" s="2"/>
      <c r="K164" s="2"/>
      <c r="L164" s="2"/>
      <c r="M164" s="6"/>
      <c r="N164" s="2"/>
      <c r="O164" s="2"/>
      <c r="P164" s="2"/>
      <c r="Q164" s="6"/>
      <c r="R164" s="2"/>
      <c r="S164" s="2"/>
      <c r="T164" s="2"/>
      <c r="U164" s="2"/>
      <c r="V164" s="2"/>
      <c r="W164" s="2"/>
      <c r="X164" s="2"/>
      <c r="Y164" s="6"/>
      <c r="Z164" s="2"/>
      <c r="AA164" s="5"/>
      <c r="AB164" s="5"/>
    </row>
    <row r="165" spans="1:28" ht="12" customHeight="1" x14ac:dyDescent="0.3">
      <c r="A165" s="2"/>
      <c r="B165" s="2"/>
      <c r="C165" s="2"/>
      <c r="D165" s="2"/>
      <c r="E165" s="6"/>
      <c r="F165" s="2"/>
      <c r="G165" s="2"/>
      <c r="H165" s="2"/>
      <c r="I165" s="6"/>
      <c r="J165" s="2"/>
      <c r="K165" s="2"/>
      <c r="L165" s="2"/>
      <c r="M165" s="6"/>
      <c r="N165" s="2"/>
      <c r="O165" s="2"/>
      <c r="P165" s="2"/>
      <c r="Q165" s="6"/>
      <c r="R165" s="2"/>
      <c r="S165" s="2"/>
      <c r="T165" s="2"/>
      <c r="U165" s="2"/>
      <c r="V165" s="2"/>
      <c r="W165" s="2"/>
      <c r="X165" s="2"/>
      <c r="Y165" s="6"/>
      <c r="Z165" s="2"/>
      <c r="AA165" s="5"/>
      <c r="AB165" s="5"/>
    </row>
    <row r="166" spans="1:28" ht="12" customHeight="1" x14ac:dyDescent="0.3">
      <c r="A166" s="2"/>
      <c r="B166" s="2"/>
      <c r="C166" s="2"/>
      <c r="D166" s="2"/>
      <c r="E166" s="6"/>
      <c r="F166" s="2"/>
      <c r="G166" s="2"/>
      <c r="H166" s="2"/>
      <c r="I166" s="6"/>
      <c r="J166" s="2"/>
      <c r="K166" s="2"/>
      <c r="L166" s="2"/>
      <c r="M166" s="6"/>
      <c r="N166" s="2"/>
      <c r="O166" s="2"/>
      <c r="P166" s="2"/>
      <c r="Q166" s="6"/>
      <c r="R166" s="2"/>
      <c r="S166" s="2"/>
      <c r="T166" s="2"/>
      <c r="U166" s="2"/>
      <c r="V166" s="2"/>
      <c r="W166" s="2"/>
      <c r="X166" s="2"/>
      <c r="Y166" s="6"/>
      <c r="Z166" s="2"/>
      <c r="AA166" s="5"/>
      <c r="AB166" s="5"/>
    </row>
    <row r="167" spans="1:28" ht="12" customHeight="1" x14ac:dyDescent="0.3">
      <c r="A167" s="2"/>
      <c r="B167" s="2"/>
      <c r="C167" s="2"/>
      <c r="D167" s="2"/>
      <c r="E167" s="6"/>
      <c r="F167" s="2"/>
      <c r="G167" s="2"/>
      <c r="H167" s="2"/>
      <c r="I167" s="6"/>
      <c r="J167" s="2"/>
      <c r="K167" s="2"/>
      <c r="L167" s="2"/>
      <c r="M167" s="6"/>
      <c r="N167" s="2"/>
      <c r="O167" s="2"/>
      <c r="P167" s="2"/>
      <c r="Q167" s="6"/>
      <c r="R167" s="2"/>
      <c r="S167" s="2"/>
      <c r="T167" s="2"/>
      <c r="U167" s="2"/>
      <c r="V167" s="2"/>
      <c r="W167" s="2"/>
      <c r="X167" s="2"/>
      <c r="Y167" s="6"/>
      <c r="Z167" s="2"/>
      <c r="AA167" s="5"/>
      <c r="AB167" s="5"/>
    </row>
    <row r="168" spans="1:28" ht="12" customHeight="1" x14ac:dyDescent="0.3">
      <c r="A168" s="2"/>
      <c r="B168" s="2"/>
      <c r="C168" s="2"/>
      <c r="D168" s="2"/>
      <c r="E168" s="6"/>
      <c r="F168" s="2"/>
      <c r="G168" s="2"/>
      <c r="H168" s="2"/>
      <c r="I168" s="6"/>
      <c r="J168" s="2"/>
      <c r="K168" s="2"/>
      <c r="L168" s="2"/>
      <c r="M168" s="6"/>
      <c r="N168" s="2"/>
      <c r="O168" s="2"/>
      <c r="P168" s="2"/>
      <c r="Q168" s="6"/>
      <c r="R168" s="2"/>
      <c r="S168" s="2"/>
      <c r="T168" s="2"/>
      <c r="U168" s="2"/>
      <c r="V168" s="2"/>
      <c r="W168" s="2"/>
      <c r="X168" s="2"/>
      <c r="Y168" s="6"/>
      <c r="Z168" s="2"/>
      <c r="AA168" s="5"/>
      <c r="AB168" s="5"/>
    </row>
    <row r="169" spans="1:28" ht="12" customHeight="1" x14ac:dyDescent="0.3">
      <c r="A169" s="2"/>
      <c r="B169" s="2"/>
      <c r="C169" s="2"/>
      <c r="D169" s="2"/>
      <c r="E169" s="6"/>
      <c r="F169" s="2"/>
      <c r="G169" s="2"/>
      <c r="H169" s="2"/>
      <c r="I169" s="6"/>
      <c r="J169" s="2"/>
      <c r="K169" s="2"/>
      <c r="L169" s="2"/>
      <c r="M169" s="6"/>
      <c r="N169" s="2"/>
      <c r="O169" s="2"/>
      <c r="P169" s="2"/>
      <c r="Q169" s="6"/>
      <c r="R169" s="2"/>
      <c r="S169" s="2"/>
      <c r="T169" s="2"/>
      <c r="U169" s="2"/>
      <c r="V169" s="2"/>
      <c r="W169" s="2"/>
      <c r="X169" s="2"/>
      <c r="Y169" s="6"/>
      <c r="Z169" s="2"/>
      <c r="AA169" s="5"/>
      <c r="AB169" s="5"/>
    </row>
    <row r="170" spans="1:28" ht="12" customHeight="1" x14ac:dyDescent="0.3">
      <c r="A170" s="2"/>
      <c r="B170" s="2"/>
      <c r="C170" s="2"/>
      <c r="D170" s="2"/>
      <c r="E170" s="6"/>
      <c r="F170" s="2"/>
      <c r="G170" s="2"/>
      <c r="H170" s="2"/>
      <c r="I170" s="6"/>
      <c r="J170" s="2"/>
      <c r="K170" s="2"/>
      <c r="L170" s="2"/>
      <c r="M170" s="6"/>
      <c r="N170" s="2"/>
      <c r="O170" s="2"/>
      <c r="P170" s="2"/>
      <c r="Q170" s="6"/>
      <c r="R170" s="2"/>
      <c r="S170" s="2"/>
      <c r="T170" s="2"/>
      <c r="U170" s="2"/>
      <c r="V170" s="2"/>
      <c r="W170" s="2"/>
      <c r="X170" s="2"/>
      <c r="Y170" s="6"/>
      <c r="Z170" s="2"/>
      <c r="AA170" s="5"/>
      <c r="AB170" s="5"/>
    </row>
    <row r="171" spans="1:28" ht="12" customHeight="1" x14ac:dyDescent="0.3">
      <c r="A171" s="2"/>
      <c r="B171" s="2"/>
      <c r="C171" s="2"/>
      <c r="D171" s="2"/>
      <c r="E171" s="6"/>
      <c r="F171" s="2"/>
      <c r="G171" s="2"/>
      <c r="H171" s="2"/>
      <c r="I171" s="6"/>
      <c r="J171" s="2"/>
      <c r="K171" s="2"/>
      <c r="L171" s="2"/>
      <c r="M171" s="6"/>
      <c r="N171" s="2"/>
      <c r="O171" s="2"/>
      <c r="P171" s="2"/>
      <c r="Q171" s="6"/>
      <c r="R171" s="2"/>
      <c r="S171" s="2"/>
      <c r="T171" s="2"/>
      <c r="U171" s="2"/>
      <c r="V171" s="2"/>
      <c r="W171" s="2"/>
      <c r="X171" s="2"/>
      <c r="Y171" s="6"/>
      <c r="Z171" s="2"/>
      <c r="AA171" s="5"/>
      <c r="AB171" s="5"/>
    </row>
    <row r="172" spans="1:28" ht="12" customHeight="1" x14ac:dyDescent="0.3">
      <c r="A172" s="2"/>
      <c r="B172" s="2"/>
      <c r="C172" s="2"/>
      <c r="D172" s="2"/>
      <c r="E172" s="6"/>
      <c r="F172" s="2"/>
      <c r="G172" s="2"/>
      <c r="H172" s="2"/>
      <c r="I172" s="6"/>
      <c r="J172" s="2"/>
      <c r="K172" s="2"/>
      <c r="L172" s="2"/>
      <c r="M172" s="6"/>
      <c r="N172" s="2"/>
      <c r="O172" s="2"/>
      <c r="P172" s="2"/>
      <c r="Q172" s="6"/>
      <c r="R172" s="2"/>
      <c r="S172" s="2"/>
      <c r="T172" s="2"/>
      <c r="U172" s="2"/>
      <c r="V172" s="2"/>
      <c r="W172" s="2"/>
      <c r="X172" s="2"/>
      <c r="Y172" s="6"/>
      <c r="Z172" s="2"/>
      <c r="AA172" s="5"/>
      <c r="AB172" s="5"/>
    </row>
    <row r="173" spans="1:28" ht="12" customHeight="1" x14ac:dyDescent="0.3">
      <c r="A173" s="2"/>
      <c r="B173" s="2"/>
      <c r="C173" s="2"/>
      <c r="D173" s="2"/>
      <c r="E173" s="6"/>
      <c r="F173" s="2"/>
      <c r="G173" s="2"/>
      <c r="H173" s="2"/>
      <c r="I173" s="6"/>
      <c r="J173" s="2"/>
      <c r="K173" s="2"/>
      <c r="L173" s="2"/>
      <c r="M173" s="6"/>
      <c r="N173" s="2"/>
      <c r="O173" s="2"/>
      <c r="P173" s="2"/>
      <c r="Q173" s="6"/>
      <c r="R173" s="2"/>
      <c r="S173" s="2"/>
      <c r="T173" s="2"/>
      <c r="U173" s="2"/>
      <c r="V173" s="2"/>
      <c r="W173" s="2"/>
      <c r="X173" s="2"/>
      <c r="Y173" s="6"/>
      <c r="Z173" s="2"/>
      <c r="AA173" s="5"/>
      <c r="AB173" s="5"/>
    </row>
    <row r="174" spans="1:28" ht="12" customHeight="1" x14ac:dyDescent="0.3">
      <c r="A174" s="2"/>
      <c r="B174" s="2"/>
      <c r="C174" s="2"/>
      <c r="D174" s="2"/>
      <c r="E174" s="6"/>
      <c r="F174" s="2"/>
      <c r="G174" s="2"/>
      <c r="H174" s="2"/>
      <c r="I174" s="6"/>
      <c r="J174" s="2"/>
      <c r="K174" s="2"/>
      <c r="L174" s="2"/>
      <c r="M174" s="6"/>
      <c r="N174" s="2"/>
      <c r="O174" s="2"/>
      <c r="P174" s="2"/>
      <c r="Q174" s="6"/>
      <c r="R174" s="2"/>
      <c r="S174" s="2"/>
      <c r="T174" s="2"/>
      <c r="U174" s="2"/>
      <c r="V174" s="2"/>
      <c r="W174" s="2"/>
      <c r="X174" s="2"/>
      <c r="Y174" s="6"/>
      <c r="Z174" s="2"/>
      <c r="AA174" s="5"/>
      <c r="AB174" s="5"/>
    </row>
    <row r="175" spans="1:28" ht="12" customHeight="1" x14ac:dyDescent="0.3">
      <c r="A175" s="2"/>
      <c r="B175" s="2"/>
      <c r="C175" s="2"/>
      <c r="D175" s="2"/>
      <c r="E175" s="6"/>
      <c r="F175" s="2"/>
      <c r="G175" s="2"/>
      <c r="H175" s="2"/>
      <c r="I175" s="6"/>
      <c r="J175" s="2"/>
      <c r="K175" s="2"/>
      <c r="L175" s="2"/>
      <c r="M175" s="6"/>
      <c r="N175" s="2"/>
      <c r="O175" s="2"/>
      <c r="P175" s="2"/>
      <c r="Q175" s="6"/>
      <c r="R175" s="2"/>
      <c r="S175" s="2"/>
      <c r="T175" s="2"/>
      <c r="U175" s="2"/>
      <c r="V175" s="2"/>
      <c r="W175" s="2"/>
      <c r="X175" s="2"/>
      <c r="Y175" s="6"/>
      <c r="Z175" s="2"/>
      <c r="AA175" s="5"/>
      <c r="AB175" s="5"/>
    </row>
    <row r="176" spans="1:28" ht="12" customHeight="1" x14ac:dyDescent="0.3">
      <c r="A176" s="2"/>
      <c r="B176" s="2"/>
      <c r="C176" s="2"/>
      <c r="D176" s="2"/>
      <c r="E176" s="6"/>
      <c r="F176" s="2"/>
      <c r="G176" s="2"/>
      <c r="H176" s="2"/>
      <c r="I176" s="6"/>
      <c r="J176" s="2"/>
      <c r="K176" s="2"/>
      <c r="L176" s="2"/>
      <c r="M176" s="6"/>
      <c r="N176" s="2"/>
      <c r="O176" s="2"/>
      <c r="P176" s="2"/>
      <c r="Q176" s="6"/>
      <c r="R176" s="2"/>
      <c r="S176" s="2"/>
      <c r="T176" s="2"/>
      <c r="U176" s="2"/>
      <c r="V176" s="2"/>
      <c r="W176" s="2"/>
      <c r="X176" s="2"/>
      <c r="Y176" s="6"/>
      <c r="Z176" s="2"/>
      <c r="AA176" s="5"/>
      <c r="AB176" s="5"/>
    </row>
    <row r="177" spans="1:28" ht="12" customHeight="1" x14ac:dyDescent="0.3">
      <c r="A177" s="2"/>
      <c r="B177" s="2"/>
      <c r="C177" s="2"/>
      <c r="D177" s="2"/>
      <c r="E177" s="6"/>
      <c r="F177" s="2"/>
      <c r="G177" s="2"/>
      <c r="H177" s="2"/>
      <c r="I177" s="6"/>
      <c r="J177" s="2"/>
      <c r="K177" s="2"/>
      <c r="L177" s="2"/>
      <c r="M177" s="6"/>
      <c r="N177" s="2"/>
      <c r="O177" s="2"/>
      <c r="P177" s="2"/>
      <c r="Q177" s="6"/>
      <c r="R177" s="2"/>
      <c r="S177" s="2"/>
      <c r="T177" s="2"/>
      <c r="U177" s="2"/>
      <c r="V177" s="2"/>
      <c r="W177" s="2"/>
      <c r="X177" s="2"/>
      <c r="Y177" s="6"/>
      <c r="Z177" s="2"/>
      <c r="AA177" s="5"/>
      <c r="AB177" s="5"/>
    </row>
    <row r="178" spans="1:28" ht="12" customHeight="1" x14ac:dyDescent="0.3">
      <c r="A178" s="2"/>
      <c r="B178" s="2"/>
      <c r="C178" s="2"/>
      <c r="D178" s="2"/>
      <c r="E178" s="6"/>
      <c r="F178" s="2"/>
      <c r="G178" s="2"/>
      <c r="H178" s="2"/>
      <c r="I178" s="6"/>
      <c r="J178" s="2"/>
      <c r="K178" s="2"/>
      <c r="L178" s="2"/>
      <c r="M178" s="6"/>
      <c r="N178" s="2"/>
      <c r="O178" s="2"/>
      <c r="P178" s="2"/>
      <c r="Q178" s="6"/>
      <c r="R178" s="2"/>
      <c r="S178" s="2"/>
      <c r="T178" s="2"/>
      <c r="U178" s="2"/>
      <c r="V178" s="2"/>
      <c r="W178" s="2"/>
      <c r="X178" s="2"/>
      <c r="Y178" s="6"/>
      <c r="Z178" s="2"/>
      <c r="AA178" s="5"/>
      <c r="AB178" s="5"/>
    </row>
    <row r="179" spans="1:28" ht="12" customHeight="1" x14ac:dyDescent="0.3">
      <c r="A179" s="2"/>
      <c r="B179" s="2"/>
      <c r="C179" s="2"/>
      <c r="D179" s="2"/>
      <c r="E179" s="6"/>
      <c r="F179" s="2"/>
      <c r="G179" s="2"/>
      <c r="H179" s="2"/>
      <c r="I179" s="6"/>
      <c r="J179" s="2"/>
      <c r="K179" s="2"/>
      <c r="L179" s="2"/>
      <c r="M179" s="6"/>
      <c r="N179" s="2"/>
      <c r="O179" s="2"/>
      <c r="P179" s="2"/>
      <c r="Q179" s="6"/>
      <c r="R179" s="2"/>
      <c r="S179" s="2"/>
      <c r="T179" s="2"/>
      <c r="U179" s="2"/>
      <c r="V179" s="2"/>
      <c r="W179" s="2"/>
      <c r="X179" s="2"/>
      <c r="Y179" s="6"/>
      <c r="Z179" s="2"/>
      <c r="AA179" s="5"/>
      <c r="AB179" s="5"/>
    </row>
    <row r="180" spans="1:28" ht="12" customHeight="1" x14ac:dyDescent="0.3">
      <c r="A180" s="2"/>
      <c r="B180" s="2"/>
      <c r="C180" s="2"/>
      <c r="D180" s="2"/>
      <c r="E180" s="6"/>
      <c r="F180" s="2"/>
      <c r="G180" s="2"/>
      <c r="H180" s="2"/>
      <c r="I180" s="6"/>
      <c r="J180" s="2"/>
      <c r="K180" s="2"/>
      <c r="L180" s="2"/>
      <c r="M180" s="6"/>
      <c r="N180" s="2"/>
      <c r="O180" s="2"/>
      <c r="P180" s="2"/>
      <c r="Q180" s="6"/>
      <c r="R180" s="2"/>
      <c r="S180" s="2"/>
      <c r="T180" s="2"/>
      <c r="U180" s="2"/>
      <c r="V180" s="2"/>
      <c r="W180" s="2"/>
      <c r="X180" s="2"/>
      <c r="Y180" s="6"/>
      <c r="Z180" s="2"/>
      <c r="AA180" s="5"/>
      <c r="AB180" s="5"/>
    </row>
    <row r="181" spans="1:28" ht="12" customHeight="1" x14ac:dyDescent="0.3">
      <c r="A181" s="2"/>
      <c r="B181" s="2"/>
      <c r="C181" s="2"/>
      <c r="D181" s="2"/>
      <c r="E181" s="6"/>
      <c r="F181" s="2"/>
      <c r="G181" s="2"/>
      <c r="H181" s="2"/>
      <c r="I181" s="6"/>
      <c r="J181" s="2"/>
      <c r="K181" s="2"/>
      <c r="L181" s="2"/>
      <c r="M181" s="6"/>
      <c r="N181" s="2"/>
      <c r="O181" s="2"/>
      <c r="P181" s="2"/>
      <c r="Q181" s="6"/>
      <c r="R181" s="2"/>
      <c r="S181" s="2"/>
      <c r="T181" s="2"/>
      <c r="U181" s="2"/>
      <c r="V181" s="2"/>
      <c r="W181" s="2"/>
      <c r="X181" s="2"/>
      <c r="Y181" s="6"/>
      <c r="Z181" s="2"/>
      <c r="AA181" s="5"/>
      <c r="AB181" s="5"/>
    </row>
    <row r="182" spans="1:28" ht="12" customHeight="1" x14ac:dyDescent="0.3">
      <c r="A182" s="2"/>
      <c r="B182" s="2"/>
      <c r="C182" s="2"/>
      <c r="D182" s="2"/>
      <c r="E182" s="6"/>
      <c r="F182" s="2"/>
      <c r="G182" s="2"/>
      <c r="H182" s="2"/>
      <c r="I182" s="6"/>
      <c r="J182" s="2"/>
      <c r="K182" s="2"/>
      <c r="L182" s="2"/>
      <c r="M182" s="6"/>
      <c r="N182" s="2"/>
      <c r="O182" s="2"/>
      <c r="P182" s="2"/>
      <c r="Q182" s="6"/>
      <c r="R182" s="2"/>
      <c r="S182" s="2"/>
      <c r="T182" s="2"/>
      <c r="U182" s="2"/>
      <c r="V182" s="2"/>
      <c r="W182" s="2"/>
      <c r="X182" s="2"/>
      <c r="Y182" s="6"/>
      <c r="Z182" s="2"/>
      <c r="AA182" s="5"/>
      <c r="AB182" s="5"/>
    </row>
    <row r="183" spans="1:28" ht="12" customHeight="1" x14ac:dyDescent="0.3">
      <c r="A183" s="2"/>
      <c r="B183" s="2"/>
      <c r="C183" s="2"/>
      <c r="D183" s="2"/>
      <c r="E183" s="6"/>
      <c r="F183" s="2"/>
      <c r="G183" s="2"/>
      <c r="H183" s="2"/>
      <c r="I183" s="6"/>
      <c r="J183" s="2"/>
      <c r="K183" s="2"/>
      <c r="L183" s="2"/>
      <c r="M183" s="6"/>
      <c r="N183" s="2"/>
      <c r="O183" s="2"/>
      <c r="P183" s="2"/>
      <c r="Q183" s="6"/>
      <c r="R183" s="2"/>
      <c r="S183" s="2"/>
      <c r="T183" s="2"/>
      <c r="U183" s="2"/>
      <c r="V183" s="2"/>
      <c r="W183" s="2"/>
      <c r="X183" s="2"/>
      <c r="Y183" s="6"/>
      <c r="Z183" s="2"/>
      <c r="AA183" s="5"/>
      <c r="AB183" s="5"/>
    </row>
    <row r="184" spans="1:28" ht="12" customHeight="1" x14ac:dyDescent="0.3">
      <c r="A184" s="2"/>
      <c r="B184" s="2"/>
      <c r="C184" s="2"/>
      <c r="D184" s="2"/>
      <c r="E184" s="6"/>
      <c r="F184" s="2"/>
      <c r="G184" s="2"/>
      <c r="H184" s="2"/>
      <c r="I184" s="6"/>
      <c r="J184" s="2"/>
      <c r="K184" s="2"/>
      <c r="L184" s="2"/>
      <c r="M184" s="6"/>
      <c r="N184" s="2"/>
      <c r="O184" s="2"/>
      <c r="P184" s="2"/>
      <c r="Q184" s="6"/>
      <c r="R184" s="2"/>
      <c r="S184" s="2"/>
      <c r="T184" s="2"/>
      <c r="U184" s="2"/>
      <c r="V184" s="2"/>
      <c r="W184" s="2"/>
      <c r="X184" s="2"/>
      <c r="Y184" s="6"/>
      <c r="Z184" s="2"/>
      <c r="AA184" s="5"/>
      <c r="AB184" s="5"/>
    </row>
    <row r="185" spans="1:28" ht="12" customHeight="1" x14ac:dyDescent="0.3">
      <c r="A185" s="2"/>
      <c r="B185" s="2"/>
      <c r="C185" s="2"/>
      <c r="D185" s="2"/>
      <c r="E185" s="6"/>
      <c r="F185" s="2"/>
      <c r="G185" s="2"/>
      <c r="H185" s="2"/>
      <c r="I185" s="6"/>
      <c r="J185" s="2"/>
      <c r="K185" s="2"/>
      <c r="L185" s="2"/>
      <c r="M185" s="6"/>
      <c r="N185" s="2"/>
      <c r="O185" s="2"/>
      <c r="P185" s="2"/>
      <c r="Q185" s="6"/>
      <c r="R185" s="2"/>
      <c r="S185" s="2"/>
      <c r="T185" s="2"/>
      <c r="U185" s="2"/>
      <c r="V185" s="2"/>
      <c r="W185" s="2"/>
      <c r="X185" s="2"/>
      <c r="Y185" s="6"/>
      <c r="Z185" s="2"/>
      <c r="AA185" s="5"/>
      <c r="AB185" s="5"/>
    </row>
    <row r="186" spans="1:28" ht="12" customHeight="1" x14ac:dyDescent="0.3">
      <c r="A186" s="2"/>
      <c r="B186" s="2"/>
      <c r="C186" s="2"/>
      <c r="D186" s="2"/>
      <c r="E186" s="6"/>
      <c r="F186" s="2"/>
      <c r="G186" s="2"/>
      <c r="H186" s="2"/>
      <c r="I186" s="6"/>
      <c r="J186" s="2"/>
      <c r="K186" s="2"/>
      <c r="L186" s="2"/>
      <c r="M186" s="6"/>
      <c r="N186" s="2"/>
      <c r="O186" s="2"/>
      <c r="P186" s="2"/>
      <c r="Q186" s="6"/>
      <c r="R186" s="2"/>
      <c r="S186" s="2"/>
      <c r="T186" s="2"/>
      <c r="U186" s="2"/>
      <c r="V186" s="2"/>
      <c r="W186" s="2"/>
      <c r="X186" s="2"/>
      <c r="Y186" s="6"/>
      <c r="Z186" s="2"/>
      <c r="AA186" s="5"/>
      <c r="AB186" s="5"/>
    </row>
    <row r="187" spans="1:28" ht="12" customHeight="1" x14ac:dyDescent="0.3">
      <c r="A187" s="2"/>
      <c r="B187" s="2"/>
      <c r="C187" s="2"/>
      <c r="D187" s="2"/>
      <c r="E187" s="6"/>
      <c r="F187" s="2"/>
      <c r="G187" s="2"/>
      <c r="H187" s="2"/>
      <c r="I187" s="6"/>
      <c r="J187" s="2"/>
      <c r="K187" s="2"/>
      <c r="L187" s="2"/>
      <c r="M187" s="6"/>
      <c r="N187" s="2"/>
      <c r="O187" s="2"/>
      <c r="P187" s="2"/>
      <c r="Q187" s="6"/>
      <c r="R187" s="2"/>
      <c r="S187" s="2"/>
      <c r="T187" s="2"/>
      <c r="U187" s="2"/>
      <c r="V187" s="2"/>
      <c r="W187" s="2"/>
      <c r="X187" s="2"/>
      <c r="Y187" s="6"/>
      <c r="Z187" s="2"/>
      <c r="AA187" s="5"/>
      <c r="AB187" s="5"/>
    </row>
    <row r="188" spans="1:28" ht="12" customHeight="1" x14ac:dyDescent="0.3">
      <c r="A188" s="2"/>
      <c r="B188" s="2"/>
      <c r="C188" s="2"/>
      <c r="D188" s="2"/>
      <c r="E188" s="6"/>
      <c r="F188" s="2"/>
      <c r="G188" s="2"/>
      <c r="H188" s="2"/>
      <c r="I188" s="6"/>
      <c r="J188" s="2"/>
      <c r="K188" s="2"/>
      <c r="L188" s="2"/>
      <c r="M188" s="6"/>
      <c r="N188" s="2"/>
      <c r="O188" s="2"/>
      <c r="P188" s="2"/>
      <c r="Q188" s="6"/>
      <c r="R188" s="2"/>
      <c r="S188" s="2"/>
      <c r="T188" s="2"/>
      <c r="U188" s="2"/>
      <c r="V188" s="2"/>
      <c r="W188" s="2"/>
      <c r="X188" s="2"/>
      <c r="Y188" s="6"/>
      <c r="Z188" s="2"/>
      <c r="AA188" s="5"/>
      <c r="AB188" s="5"/>
    </row>
    <row r="189" spans="1:28" ht="12" customHeight="1" x14ac:dyDescent="0.3">
      <c r="A189" s="2"/>
      <c r="B189" s="2"/>
      <c r="C189" s="2"/>
      <c r="D189" s="2"/>
      <c r="E189" s="6"/>
      <c r="F189" s="2"/>
      <c r="G189" s="2"/>
      <c r="H189" s="2"/>
      <c r="I189" s="6"/>
      <c r="J189" s="2"/>
      <c r="K189" s="2"/>
      <c r="L189" s="2"/>
      <c r="M189" s="6"/>
      <c r="N189" s="2"/>
      <c r="O189" s="2"/>
      <c r="P189" s="2"/>
      <c r="Q189" s="6"/>
      <c r="R189" s="2"/>
      <c r="S189" s="2"/>
      <c r="T189" s="2"/>
      <c r="U189" s="2"/>
      <c r="V189" s="2"/>
      <c r="W189" s="2"/>
      <c r="X189" s="2"/>
      <c r="Y189" s="6"/>
      <c r="Z189" s="2"/>
      <c r="AA189" s="5"/>
      <c r="AB189" s="5"/>
    </row>
    <row r="190" spans="1:28" ht="12" customHeight="1" x14ac:dyDescent="0.3">
      <c r="A190" s="2"/>
      <c r="B190" s="2"/>
      <c r="C190" s="2"/>
      <c r="D190" s="2"/>
      <c r="E190" s="6"/>
      <c r="F190" s="2"/>
      <c r="G190" s="2"/>
      <c r="H190" s="2"/>
      <c r="I190" s="6"/>
      <c r="J190" s="2"/>
      <c r="K190" s="2"/>
      <c r="L190" s="2"/>
      <c r="M190" s="6"/>
      <c r="N190" s="2"/>
      <c r="O190" s="2"/>
      <c r="P190" s="2"/>
      <c r="Q190" s="6"/>
      <c r="R190" s="2"/>
      <c r="S190" s="2"/>
      <c r="T190" s="2"/>
      <c r="U190" s="2"/>
      <c r="V190" s="2"/>
      <c r="W190" s="2"/>
      <c r="X190" s="2"/>
      <c r="Y190" s="6"/>
      <c r="Z190" s="2"/>
      <c r="AA190" s="5"/>
      <c r="AB190" s="5"/>
    </row>
    <row r="191" spans="1:28" ht="12" customHeight="1" x14ac:dyDescent="0.3">
      <c r="A191" s="2"/>
      <c r="B191" s="2"/>
      <c r="C191" s="2"/>
      <c r="D191" s="2"/>
      <c r="E191" s="6"/>
      <c r="F191" s="2"/>
      <c r="G191" s="2"/>
      <c r="H191" s="2"/>
      <c r="I191" s="6"/>
      <c r="J191" s="2"/>
      <c r="K191" s="2"/>
      <c r="L191" s="2"/>
      <c r="M191" s="6"/>
      <c r="N191" s="2"/>
      <c r="O191" s="2"/>
      <c r="P191" s="2"/>
      <c r="Q191" s="6"/>
      <c r="R191" s="2"/>
      <c r="S191" s="2"/>
      <c r="T191" s="2"/>
      <c r="U191" s="2"/>
      <c r="V191" s="2"/>
      <c r="W191" s="2"/>
      <c r="X191" s="2"/>
      <c r="Y191" s="6"/>
      <c r="Z191" s="2"/>
      <c r="AA191" s="5"/>
      <c r="AB191" s="5"/>
    </row>
    <row r="192" spans="1:28" ht="12" customHeight="1" x14ac:dyDescent="0.3">
      <c r="A192" s="2"/>
      <c r="B192" s="2"/>
      <c r="C192" s="2"/>
      <c r="D192" s="2"/>
      <c r="E192" s="6"/>
      <c r="F192" s="2"/>
      <c r="G192" s="2"/>
      <c r="H192" s="2"/>
      <c r="I192" s="6"/>
      <c r="J192" s="2"/>
      <c r="K192" s="2"/>
      <c r="L192" s="2"/>
      <c r="M192" s="6"/>
      <c r="N192" s="2"/>
      <c r="O192" s="2"/>
      <c r="P192" s="2"/>
      <c r="Q192" s="6"/>
      <c r="R192" s="2"/>
      <c r="S192" s="2"/>
      <c r="T192" s="2"/>
      <c r="U192" s="2"/>
      <c r="V192" s="2"/>
      <c r="W192" s="2"/>
      <c r="X192" s="2"/>
      <c r="Y192" s="6"/>
      <c r="Z192" s="2"/>
      <c r="AA192" s="5"/>
      <c r="AB192" s="5"/>
    </row>
    <row r="193" spans="1:28" ht="12" customHeight="1" x14ac:dyDescent="0.3">
      <c r="A193" s="2"/>
      <c r="B193" s="2"/>
      <c r="C193" s="2"/>
      <c r="D193" s="2"/>
      <c r="E193" s="6"/>
      <c r="F193" s="2"/>
      <c r="G193" s="2"/>
      <c r="H193" s="2"/>
      <c r="I193" s="6"/>
      <c r="J193" s="2"/>
      <c r="K193" s="2"/>
      <c r="L193" s="2"/>
      <c r="M193" s="6"/>
      <c r="N193" s="2"/>
      <c r="O193" s="2"/>
      <c r="P193" s="2"/>
      <c r="Q193" s="6"/>
      <c r="R193" s="2"/>
      <c r="S193" s="2"/>
      <c r="T193" s="2"/>
      <c r="U193" s="2"/>
      <c r="V193" s="2"/>
      <c r="W193" s="2"/>
      <c r="X193" s="2"/>
      <c r="Y193" s="6"/>
      <c r="Z193" s="2"/>
      <c r="AA193" s="5"/>
      <c r="AB193" s="5"/>
    </row>
    <row r="194" spans="1:28" ht="12" customHeight="1" x14ac:dyDescent="0.3">
      <c r="A194" s="2"/>
      <c r="B194" s="2"/>
      <c r="C194" s="2"/>
      <c r="D194" s="2"/>
      <c r="E194" s="6"/>
      <c r="F194" s="2"/>
      <c r="G194" s="2"/>
      <c r="H194" s="2"/>
      <c r="I194" s="6"/>
      <c r="J194" s="2"/>
      <c r="K194" s="2"/>
      <c r="L194" s="2"/>
      <c r="M194" s="6"/>
      <c r="N194" s="2"/>
      <c r="O194" s="2"/>
      <c r="P194" s="2"/>
      <c r="Q194" s="6"/>
      <c r="R194" s="2"/>
      <c r="S194" s="2"/>
      <c r="T194" s="2"/>
      <c r="U194" s="2"/>
      <c r="V194" s="2"/>
      <c r="W194" s="2"/>
      <c r="X194" s="2"/>
      <c r="Y194" s="6"/>
      <c r="Z194" s="2"/>
      <c r="AA194" s="5"/>
      <c r="AB194" s="5"/>
    </row>
    <row r="195" spans="1:28" ht="12" customHeight="1" x14ac:dyDescent="0.3">
      <c r="A195" s="2"/>
      <c r="B195" s="2"/>
      <c r="C195" s="2"/>
      <c r="D195" s="2"/>
      <c r="E195" s="6"/>
      <c r="F195" s="2"/>
      <c r="G195" s="2"/>
      <c r="H195" s="2"/>
      <c r="I195" s="6"/>
      <c r="J195" s="2"/>
      <c r="K195" s="2"/>
      <c r="L195" s="2"/>
      <c r="M195" s="6"/>
      <c r="N195" s="2"/>
      <c r="O195" s="2"/>
      <c r="P195" s="2"/>
      <c r="Q195" s="6"/>
      <c r="R195" s="2"/>
      <c r="S195" s="2"/>
      <c r="T195" s="2"/>
      <c r="U195" s="2"/>
      <c r="V195" s="2"/>
      <c r="W195" s="2"/>
      <c r="X195" s="2"/>
      <c r="Y195" s="6"/>
      <c r="Z195" s="2"/>
      <c r="AA195" s="5"/>
      <c r="AB195" s="5"/>
    </row>
    <row r="196" spans="1:28" ht="12" customHeight="1" x14ac:dyDescent="0.3">
      <c r="A196" s="2"/>
      <c r="B196" s="2"/>
      <c r="C196" s="2"/>
      <c r="D196" s="2"/>
      <c r="E196" s="6"/>
      <c r="F196" s="2"/>
      <c r="G196" s="2"/>
      <c r="H196" s="2"/>
      <c r="I196" s="6"/>
      <c r="J196" s="2"/>
      <c r="K196" s="2"/>
      <c r="L196" s="2"/>
      <c r="M196" s="6"/>
      <c r="N196" s="2"/>
      <c r="O196" s="2"/>
      <c r="P196" s="2"/>
      <c r="Q196" s="6"/>
      <c r="R196" s="2"/>
      <c r="S196" s="2"/>
      <c r="T196" s="2"/>
      <c r="U196" s="2"/>
      <c r="V196" s="2"/>
      <c r="W196" s="2"/>
      <c r="X196" s="2"/>
      <c r="Y196" s="6"/>
      <c r="Z196" s="2"/>
      <c r="AA196" s="5"/>
      <c r="AB196" s="5"/>
    </row>
    <row r="197" spans="1:28" ht="12" customHeight="1" x14ac:dyDescent="0.3">
      <c r="A197" s="2"/>
      <c r="B197" s="2"/>
      <c r="C197" s="2"/>
      <c r="D197" s="2"/>
      <c r="E197" s="6"/>
      <c r="F197" s="2"/>
      <c r="G197" s="2"/>
      <c r="H197" s="2"/>
      <c r="I197" s="6"/>
      <c r="J197" s="2"/>
      <c r="K197" s="2"/>
      <c r="L197" s="2"/>
      <c r="M197" s="6"/>
      <c r="N197" s="2"/>
      <c r="O197" s="2"/>
      <c r="P197" s="2"/>
      <c r="Q197" s="6"/>
      <c r="R197" s="2"/>
      <c r="S197" s="2"/>
      <c r="T197" s="2"/>
      <c r="U197" s="2"/>
      <c r="V197" s="2"/>
      <c r="W197" s="2"/>
      <c r="X197" s="2"/>
      <c r="Y197" s="6"/>
      <c r="Z197" s="2"/>
      <c r="AA197" s="5"/>
      <c r="AB197" s="5"/>
    </row>
    <row r="198" spans="1:28" ht="12" customHeight="1" x14ac:dyDescent="0.3">
      <c r="A198" s="2"/>
      <c r="B198" s="2"/>
      <c r="C198" s="2"/>
      <c r="D198" s="2"/>
      <c r="E198" s="6"/>
      <c r="F198" s="2"/>
      <c r="G198" s="2"/>
      <c r="H198" s="2"/>
      <c r="I198" s="6"/>
      <c r="J198" s="2"/>
      <c r="K198" s="2"/>
      <c r="L198" s="2"/>
      <c r="M198" s="6"/>
      <c r="N198" s="2"/>
      <c r="O198" s="2"/>
      <c r="P198" s="2"/>
      <c r="Q198" s="6"/>
      <c r="R198" s="2"/>
      <c r="S198" s="2"/>
      <c r="T198" s="2"/>
      <c r="U198" s="2"/>
      <c r="V198" s="2"/>
      <c r="W198" s="2"/>
      <c r="X198" s="2"/>
      <c r="Y198" s="6"/>
      <c r="Z198" s="2"/>
      <c r="AA198" s="5"/>
      <c r="AB198" s="5"/>
    </row>
    <row r="199" spans="1:28" ht="12" customHeight="1" x14ac:dyDescent="0.3">
      <c r="A199" s="2"/>
      <c r="B199" s="2"/>
      <c r="C199" s="2"/>
      <c r="D199" s="2"/>
      <c r="E199" s="6"/>
      <c r="F199" s="2"/>
      <c r="G199" s="2"/>
      <c r="H199" s="2"/>
      <c r="I199" s="6"/>
      <c r="J199" s="2"/>
      <c r="K199" s="2"/>
      <c r="L199" s="2"/>
      <c r="M199" s="6"/>
      <c r="N199" s="2"/>
      <c r="O199" s="2"/>
      <c r="P199" s="2"/>
      <c r="Q199" s="6"/>
      <c r="R199" s="2"/>
      <c r="S199" s="2"/>
      <c r="T199" s="2"/>
      <c r="U199" s="2"/>
      <c r="V199" s="2"/>
      <c r="W199" s="2"/>
      <c r="X199" s="2"/>
      <c r="Y199" s="6"/>
      <c r="Z199" s="2"/>
      <c r="AA199" s="5"/>
      <c r="AB199" s="5"/>
    </row>
    <row r="200" spans="1:28" ht="12" customHeight="1" x14ac:dyDescent="0.3">
      <c r="A200" s="2"/>
      <c r="B200" s="2"/>
      <c r="C200" s="2"/>
      <c r="D200" s="2"/>
      <c r="E200" s="6"/>
      <c r="F200" s="2"/>
      <c r="G200" s="2"/>
      <c r="H200" s="2"/>
      <c r="I200" s="6"/>
      <c r="J200" s="2"/>
      <c r="K200" s="2"/>
      <c r="L200" s="2"/>
      <c r="M200" s="6"/>
      <c r="N200" s="2"/>
      <c r="O200" s="2"/>
      <c r="P200" s="2"/>
      <c r="Q200" s="6"/>
      <c r="R200" s="2"/>
      <c r="S200" s="2"/>
      <c r="T200" s="2"/>
      <c r="U200" s="2"/>
      <c r="V200" s="2"/>
      <c r="W200" s="2"/>
      <c r="X200" s="2"/>
      <c r="Y200" s="6"/>
      <c r="Z200" s="2"/>
      <c r="AA200" s="5"/>
      <c r="AB200" s="5"/>
    </row>
    <row r="201" spans="1:28" ht="12" customHeight="1" x14ac:dyDescent="0.3">
      <c r="A201" s="2"/>
      <c r="B201" s="2"/>
      <c r="C201" s="2"/>
      <c r="D201" s="2"/>
      <c r="E201" s="6"/>
      <c r="F201" s="2"/>
      <c r="G201" s="2"/>
      <c r="H201" s="2"/>
      <c r="I201" s="6"/>
      <c r="J201" s="2"/>
      <c r="K201" s="2"/>
      <c r="L201" s="2"/>
      <c r="M201" s="6"/>
      <c r="N201" s="2"/>
      <c r="O201" s="2"/>
      <c r="P201" s="2"/>
      <c r="Q201" s="6"/>
      <c r="R201" s="2"/>
      <c r="S201" s="2"/>
      <c r="T201" s="2"/>
      <c r="U201" s="2"/>
      <c r="V201" s="2"/>
      <c r="W201" s="2"/>
      <c r="X201" s="2"/>
      <c r="Y201" s="6"/>
      <c r="Z201" s="2"/>
      <c r="AA201" s="5"/>
      <c r="AB201" s="5"/>
    </row>
    <row r="202" spans="1:28" ht="12" customHeight="1" x14ac:dyDescent="0.3">
      <c r="A202" s="2"/>
      <c r="B202" s="2"/>
      <c r="C202" s="2"/>
      <c r="D202" s="2"/>
      <c r="E202" s="6"/>
      <c r="F202" s="2"/>
      <c r="G202" s="2"/>
      <c r="H202" s="2"/>
      <c r="I202" s="6"/>
      <c r="J202" s="2"/>
      <c r="K202" s="2"/>
      <c r="L202" s="2"/>
      <c r="M202" s="6"/>
      <c r="N202" s="2"/>
      <c r="O202" s="2"/>
      <c r="P202" s="2"/>
      <c r="Q202" s="6"/>
      <c r="R202" s="2"/>
      <c r="S202" s="2"/>
      <c r="T202" s="2"/>
      <c r="U202" s="2"/>
      <c r="V202" s="2"/>
      <c r="W202" s="2"/>
      <c r="X202" s="2"/>
      <c r="Y202" s="6"/>
      <c r="Z202" s="2"/>
      <c r="AA202" s="5"/>
      <c r="AB202" s="5"/>
    </row>
    <row r="203" spans="1:28" ht="12" customHeight="1" x14ac:dyDescent="0.3">
      <c r="A203" s="2"/>
      <c r="B203" s="2"/>
      <c r="C203" s="2"/>
      <c r="D203" s="2"/>
      <c r="E203" s="6"/>
      <c r="F203" s="2"/>
      <c r="G203" s="2"/>
      <c r="H203" s="2"/>
      <c r="I203" s="6"/>
      <c r="J203" s="2"/>
      <c r="K203" s="2"/>
      <c r="L203" s="2"/>
      <c r="M203" s="6"/>
      <c r="N203" s="2"/>
      <c r="O203" s="2"/>
      <c r="P203" s="2"/>
      <c r="Q203" s="6"/>
      <c r="R203" s="2"/>
      <c r="S203" s="2"/>
      <c r="T203" s="2"/>
      <c r="U203" s="2"/>
      <c r="V203" s="2"/>
      <c r="W203" s="2"/>
      <c r="X203" s="2"/>
      <c r="Y203" s="6"/>
      <c r="Z203" s="2"/>
      <c r="AA203" s="5"/>
      <c r="AB203" s="5"/>
    </row>
    <row r="204" spans="1:28" ht="12" customHeight="1" x14ac:dyDescent="0.3">
      <c r="A204" s="2"/>
      <c r="B204" s="2"/>
      <c r="C204" s="2"/>
      <c r="D204" s="2"/>
      <c r="E204" s="6"/>
      <c r="F204" s="2"/>
      <c r="G204" s="2"/>
      <c r="H204" s="2"/>
      <c r="I204" s="6"/>
      <c r="J204" s="2"/>
      <c r="K204" s="2"/>
      <c r="L204" s="2"/>
      <c r="M204" s="6"/>
      <c r="N204" s="2"/>
      <c r="O204" s="2"/>
      <c r="P204" s="2"/>
      <c r="Q204" s="6"/>
      <c r="R204" s="2"/>
      <c r="S204" s="2"/>
      <c r="T204" s="2"/>
      <c r="U204" s="2"/>
      <c r="V204" s="2"/>
      <c r="W204" s="2"/>
      <c r="X204" s="2"/>
      <c r="Y204" s="6"/>
      <c r="Z204" s="2"/>
      <c r="AA204" s="5"/>
      <c r="AB204" s="5"/>
    </row>
    <row r="205" spans="1:28" ht="12" customHeight="1" x14ac:dyDescent="0.3">
      <c r="A205" s="2"/>
      <c r="B205" s="2"/>
      <c r="C205" s="2"/>
      <c r="D205" s="2"/>
      <c r="E205" s="6"/>
      <c r="F205" s="2"/>
      <c r="G205" s="2"/>
      <c r="H205" s="2"/>
      <c r="I205" s="6"/>
      <c r="J205" s="2"/>
      <c r="K205" s="2"/>
      <c r="L205" s="2"/>
      <c r="M205" s="6"/>
      <c r="N205" s="2"/>
      <c r="O205" s="2"/>
      <c r="P205" s="2"/>
      <c r="Q205" s="6"/>
      <c r="R205" s="2"/>
      <c r="S205" s="2"/>
      <c r="T205" s="2"/>
      <c r="U205" s="2"/>
      <c r="V205" s="2"/>
      <c r="W205" s="2"/>
      <c r="X205" s="2"/>
      <c r="Y205" s="6"/>
      <c r="Z205" s="2"/>
      <c r="AA205" s="5"/>
      <c r="AB205" s="5"/>
    </row>
    <row r="206" spans="1:28" ht="12" customHeight="1" x14ac:dyDescent="0.3">
      <c r="A206" s="2"/>
      <c r="B206" s="2"/>
      <c r="C206" s="2"/>
      <c r="D206" s="2"/>
      <c r="E206" s="6"/>
      <c r="F206" s="2"/>
      <c r="G206" s="2"/>
      <c r="H206" s="2"/>
      <c r="I206" s="6"/>
      <c r="J206" s="2"/>
      <c r="K206" s="2"/>
      <c r="L206" s="2"/>
      <c r="M206" s="6"/>
      <c r="N206" s="2"/>
      <c r="O206" s="2"/>
      <c r="P206" s="2"/>
      <c r="Q206" s="6"/>
      <c r="R206" s="2"/>
      <c r="S206" s="2"/>
      <c r="T206" s="2"/>
      <c r="U206" s="2"/>
      <c r="V206" s="2"/>
      <c r="W206" s="2"/>
      <c r="X206" s="2"/>
      <c r="Y206" s="6"/>
      <c r="Z206" s="2"/>
      <c r="AA206" s="5"/>
      <c r="AB206" s="5"/>
    </row>
    <row r="207" spans="1:28" ht="12" customHeight="1" x14ac:dyDescent="0.3">
      <c r="A207" s="2"/>
      <c r="B207" s="2"/>
      <c r="C207" s="2"/>
      <c r="D207" s="2"/>
      <c r="E207" s="6"/>
      <c r="F207" s="2"/>
      <c r="G207" s="2"/>
      <c r="H207" s="2"/>
      <c r="I207" s="6"/>
      <c r="J207" s="2"/>
      <c r="K207" s="2"/>
      <c r="L207" s="2"/>
      <c r="M207" s="6"/>
      <c r="N207" s="2"/>
      <c r="O207" s="2"/>
      <c r="P207" s="2"/>
      <c r="Q207" s="6"/>
      <c r="R207" s="2"/>
      <c r="S207" s="2"/>
      <c r="T207" s="2"/>
      <c r="U207" s="2"/>
      <c r="V207" s="2"/>
      <c r="W207" s="2"/>
      <c r="X207" s="2"/>
      <c r="Y207" s="6"/>
      <c r="Z207" s="2"/>
      <c r="AA207" s="5"/>
      <c r="AB207" s="5"/>
    </row>
    <row r="208" spans="1:28" ht="12" customHeight="1" x14ac:dyDescent="0.3">
      <c r="A208" s="2"/>
      <c r="B208" s="2"/>
      <c r="C208" s="2"/>
      <c r="D208" s="2"/>
      <c r="E208" s="6"/>
      <c r="F208" s="2"/>
      <c r="G208" s="2"/>
      <c r="H208" s="2"/>
      <c r="I208" s="6"/>
      <c r="J208" s="2"/>
      <c r="K208" s="2"/>
      <c r="L208" s="2"/>
      <c r="M208" s="6"/>
      <c r="N208" s="2"/>
      <c r="O208" s="2"/>
      <c r="P208" s="2"/>
      <c r="Q208" s="6"/>
      <c r="R208" s="2"/>
      <c r="S208" s="2"/>
      <c r="T208" s="2"/>
      <c r="U208" s="2"/>
      <c r="V208" s="2"/>
      <c r="W208" s="2"/>
      <c r="X208" s="2"/>
      <c r="Y208" s="6"/>
      <c r="Z208" s="2"/>
      <c r="AA208" s="5"/>
      <c r="AB208" s="5"/>
    </row>
    <row r="209" spans="1:28" ht="12" customHeight="1" x14ac:dyDescent="0.3">
      <c r="A209" s="2"/>
      <c r="B209" s="2"/>
      <c r="C209" s="2"/>
      <c r="D209" s="2"/>
      <c r="E209" s="6"/>
      <c r="F209" s="2"/>
      <c r="G209" s="2"/>
      <c r="H209" s="2"/>
      <c r="I209" s="6"/>
      <c r="J209" s="2"/>
      <c r="K209" s="2"/>
      <c r="L209" s="2"/>
      <c r="M209" s="6"/>
      <c r="N209" s="2"/>
      <c r="O209" s="2"/>
      <c r="P209" s="2"/>
      <c r="Q209" s="6"/>
      <c r="R209" s="2"/>
      <c r="S209" s="2"/>
      <c r="T209" s="2"/>
      <c r="U209" s="2"/>
      <c r="V209" s="2"/>
      <c r="W209" s="2"/>
      <c r="X209" s="2"/>
      <c r="Y209" s="6"/>
      <c r="Z209" s="2"/>
      <c r="AA209" s="5"/>
      <c r="AB209" s="5"/>
    </row>
    <row r="210" spans="1:28" ht="12" customHeight="1" x14ac:dyDescent="0.3">
      <c r="A210" s="2"/>
      <c r="B210" s="2"/>
      <c r="C210" s="2"/>
      <c r="D210" s="2"/>
      <c r="E210" s="6"/>
      <c r="F210" s="2"/>
      <c r="G210" s="2"/>
      <c r="H210" s="2"/>
      <c r="I210" s="6"/>
      <c r="J210" s="2"/>
      <c r="K210" s="2"/>
      <c r="L210" s="2"/>
      <c r="M210" s="6"/>
      <c r="N210" s="2"/>
      <c r="O210" s="2"/>
      <c r="P210" s="2"/>
      <c r="Q210" s="6"/>
      <c r="R210" s="2"/>
      <c r="S210" s="2"/>
      <c r="T210" s="2"/>
      <c r="U210" s="2"/>
      <c r="V210" s="2"/>
      <c r="W210" s="2"/>
      <c r="X210" s="2"/>
      <c r="Y210" s="6"/>
      <c r="Z210" s="2"/>
      <c r="AA210" s="5"/>
      <c r="AB210" s="5"/>
    </row>
    <row r="211" spans="1:28" ht="12" customHeight="1" x14ac:dyDescent="0.3">
      <c r="A211" s="2"/>
      <c r="B211" s="2"/>
      <c r="C211" s="2"/>
      <c r="D211" s="2"/>
      <c r="E211" s="6"/>
      <c r="F211" s="2"/>
      <c r="G211" s="2"/>
      <c r="H211" s="2"/>
      <c r="I211" s="6"/>
      <c r="J211" s="2"/>
      <c r="K211" s="2"/>
      <c r="L211" s="2"/>
      <c r="M211" s="6"/>
      <c r="N211" s="2"/>
      <c r="O211" s="2"/>
      <c r="P211" s="2"/>
      <c r="Q211" s="6"/>
      <c r="R211" s="2"/>
      <c r="S211" s="2"/>
      <c r="T211" s="2"/>
      <c r="U211" s="2"/>
      <c r="V211" s="2"/>
      <c r="W211" s="2"/>
      <c r="X211" s="2"/>
      <c r="Y211" s="6"/>
      <c r="Z211" s="2"/>
      <c r="AA211" s="5"/>
      <c r="AB211" s="5"/>
    </row>
    <row r="212" spans="1:28" ht="12" customHeight="1" x14ac:dyDescent="0.3">
      <c r="A212" s="2"/>
      <c r="B212" s="2"/>
      <c r="C212" s="2"/>
      <c r="D212" s="2"/>
      <c r="E212" s="6"/>
      <c r="F212" s="2"/>
      <c r="G212" s="2"/>
      <c r="H212" s="2"/>
      <c r="I212" s="6"/>
      <c r="J212" s="2"/>
      <c r="K212" s="2"/>
      <c r="L212" s="2"/>
      <c r="M212" s="6"/>
      <c r="N212" s="2"/>
      <c r="O212" s="2"/>
      <c r="P212" s="2"/>
      <c r="Q212" s="6"/>
      <c r="R212" s="2"/>
      <c r="S212" s="2"/>
      <c r="T212" s="2"/>
      <c r="U212" s="2"/>
      <c r="V212" s="2"/>
      <c r="W212" s="2"/>
      <c r="X212" s="2"/>
      <c r="Y212" s="6"/>
      <c r="Z212" s="2"/>
      <c r="AA212" s="5"/>
      <c r="AB212" s="5"/>
    </row>
    <row r="213" spans="1:28" ht="12" customHeight="1" x14ac:dyDescent="0.3">
      <c r="A213" s="2"/>
      <c r="B213" s="2"/>
      <c r="C213" s="2"/>
      <c r="D213" s="2"/>
      <c r="E213" s="6"/>
      <c r="F213" s="2"/>
      <c r="G213" s="2"/>
      <c r="H213" s="2"/>
      <c r="I213" s="6"/>
      <c r="J213" s="2"/>
      <c r="K213" s="2"/>
      <c r="L213" s="2"/>
      <c r="M213" s="6"/>
      <c r="N213" s="2"/>
      <c r="O213" s="2"/>
      <c r="P213" s="2"/>
      <c r="Q213" s="6"/>
      <c r="R213" s="2"/>
      <c r="S213" s="2"/>
      <c r="T213" s="2"/>
      <c r="U213" s="2"/>
      <c r="V213" s="2"/>
      <c r="W213" s="2"/>
      <c r="X213" s="2"/>
      <c r="Y213" s="6"/>
      <c r="Z213" s="2"/>
      <c r="AA213" s="5"/>
      <c r="AB213" s="5"/>
    </row>
    <row r="214" spans="1:28" ht="12" customHeight="1" x14ac:dyDescent="0.3">
      <c r="A214" s="2"/>
      <c r="B214" s="2"/>
      <c r="C214" s="2"/>
      <c r="D214" s="2"/>
      <c r="E214" s="6"/>
      <c r="F214" s="2"/>
      <c r="G214" s="2"/>
      <c r="H214" s="2"/>
      <c r="I214" s="6"/>
      <c r="J214" s="2"/>
      <c r="K214" s="2"/>
      <c r="L214" s="2"/>
      <c r="M214" s="6"/>
      <c r="N214" s="2"/>
      <c r="O214" s="2"/>
      <c r="P214" s="2"/>
      <c r="Q214" s="6"/>
      <c r="R214" s="2"/>
      <c r="S214" s="2"/>
      <c r="T214" s="2"/>
      <c r="U214" s="2"/>
      <c r="V214" s="2"/>
      <c r="W214" s="2"/>
      <c r="X214" s="2"/>
      <c r="Y214" s="6"/>
      <c r="Z214" s="2"/>
      <c r="AA214" s="5"/>
      <c r="AB214" s="5"/>
    </row>
    <row r="215" spans="1:28" ht="12" customHeight="1" x14ac:dyDescent="0.3">
      <c r="A215" s="2"/>
      <c r="B215" s="2"/>
      <c r="C215" s="2"/>
      <c r="D215" s="2"/>
      <c r="E215" s="6"/>
      <c r="F215" s="2"/>
      <c r="G215" s="2"/>
      <c r="H215" s="2"/>
      <c r="I215" s="6"/>
      <c r="J215" s="2"/>
      <c r="K215" s="2"/>
      <c r="L215" s="2"/>
      <c r="M215" s="6"/>
      <c r="N215" s="2"/>
      <c r="O215" s="2"/>
      <c r="P215" s="2"/>
      <c r="Q215" s="6"/>
      <c r="R215" s="2"/>
      <c r="S215" s="2"/>
      <c r="T215" s="2"/>
      <c r="U215" s="2"/>
      <c r="V215" s="2"/>
      <c r="W215" s="2"/>
      <c r="X215" s="2"/>
      <c r="Y215" s="6"/>
      <c r="Z215" s="2"/>
      <c r="AA215" s="5"/>
      <c r="AB215" s="5"/>
    </row>
    <row r="216" spans="1:28" ht="12" customHeight="1" x14ac:dyDescent="0.3">
      <c r="A216" s="2"/>
      <c r="B216" s="2"/>
      <c r="C216" s="2"/>
      <c r="D216" s="2"/>
      <c r="E216" s="6"/>
      <c r="F216" s="2"/>
      <c r="G216" s="2"/>
      <c r="H216" s="2"/>
      <c r="I216" s="6"/>
      <c r="J216" s="2"/>
      <c r="K216" s="2"/>
      <c r="L216" s="2"/>
      <c r="M216" s="6"/>
      <c r="N216" s="2"/>
      <c r="O216" s="2"/>
      <c r="P216" s="2"/>
      <c r="Q216" s="6"/>
      <c r="R216" s="2"/>
      <c r="S216" s="2"/>
      <c r="T216" s="2"/>
      <c r="U216" s="2"/>
      <c r="V216" s="2"/>
      <c r="W216" s="2"/>
      <c r="X216" s="2"/>
      <c r="Y216" s="6"/>
      <c r="Z216" s="2"/>
      <c r="AA216" s="5"/>
      <c r="AB216" s="5"/>
    </row>
    <row r="217" spans="1:28" ht="12" customHeight="1" x14ac:dyDescent="0.3">
      <c r="A217" s="2"/>
      <c r="B217" s="2"/>
      <c r="C217" s="2"/>
      <c r="D217" s="2"/>
      <c r="E217" s="6"/>
      <c r="F217" s="2"/>
      <c r="G217" s="2"/>
      <c r="H217" s="2"/>
      <c r="I217" s="6"/>
      <c r="J217" s="2"/>
      <c r="K217" s="2"/>
      <c r="L217" s="2"/>
      <c r="M217" s="6"/>
      <c r="N217" s="2"/>
      <c r="O217" s="2"/>
      <c r="P217" s="2"/>
      <c r="Q217" s="6"/>
      <c r="R217" s="2"/>
      <c r="S217" s="2"/>
      <c r="T217" s="2"/>
      <c r="U217" s="2"/>
      <c r="V217" s="2"/>
      <c r="W217" s="2"/>
      <c r="X217" s="2"/>
      <c r="Y217" s="6"/>
      <c r="Z217" s="2"/>
      <c r="AA217" s="5"/>
      <c r="AB217" s="5"/>
    </row>
    <row r="218" spans="1:28" ht="12" customHeight="1" x14ac:dyDescent="0.3">
      <c r="A218" s="2"/>
      <c r="B218" s="2"/>
      <c r="C218" s="2"/>
      <c r="D218" s="2"/>
      <c r="E218" s="6"/>
      <c r="F218" s="2"/>
      <c r="G218" s="2"/>
      <c r="H218" s="2"/>
      <c r="I218" s="6"/>
      <c r="J218" s="2"/>
      <c r="K218" s="2"/>
      <c r="L218" s="2"/>
      <c r="M218" s="6"/>
      <c r="N218" s="2"/>
      <c r="O218" s="2"/>
      <c r="P218" s="2"/>
      <c r="Q218" s="6"/>
      <c r="R218" s="2"/>
      <c r="S218" s="2"/>
      <c r="T218" s="2"/>
      <c r="U218" s="2"/>
      <c r="V218" s="2"/>
      <c r="W218" s="2"/>
      <c r="X218" s="2"/>
      <c r="Y218" s="6"/>
      <c r="Z218" s="2"/>
      <c r="AA218" s="5"/>
      <c r="AB218" s="5"/>
    </row>
    <row r="219" spans="1:28" ht="12" customHeight="1" x14ac:dyDescent="0.3">
      <c r="A219" s="2"/>
      <c r="B219" s="2"/>
      <c r="C219" s="2"/>
      <c r="D219" s="2"/>
      <c r="E219" s="6"/>
      <c r="F219" s="2"/>
      <c r="G219" s="2"/>
      <c r="H219" s="2"/>
      <c r="I219" s="6"/>
      <c r="J219" s="2"/>
      <c r="K219" s="2"/>
      <c r="L219" s="2"/>
      <c r="M219" s="6"/>
      <c r="N219" s="2"/>
      <c r="O219" s="2"/>
      <c r="P219" s="2"/>
      <c r="Q219" s="6"/>
      <c r="R219" s="2"/>
      <c r="S219" s="2"/>
      <c r="T219" s="2"/>
      <c r="U219" s="2"/>
      <c r="V219" s="2"/>
      <c r="W219" s="2"/>
      <c r="X219" s="2"/>
      <c r="Y219" s="6"/>
      <c r="Z219" s="2"/>
      <c r="AA219" s="5"/>
      <c r="AB219" s="5"/>
    </row>
    <row r="220" spans="1:28" ht="12" customHeight="1" x14ac:dyDescent="0.3">
      <c r="A220" s="2"/>
      <c r="B220" s="2"/>
      <c r="C220" s="2"/>
      <c r="D220" s="2"/>
      <c r="E220" s="6"/>
      <c r="F220" s="2"/>
      <c r="G220" s="2"/>
      <c r="H220" s="2"/>
      <c r="I220" s="6"/>
      <c r="J220" s="2"/>
      <c r="K220" s="2"/>
      <c r="L220" s="2"/>
      <c r="M220" s="6"/>
      <c r="N220" s="2"/>
      <c r="O220" s="2"/>
      <c r="P220" s="2"/>
      <c r="Q220" s="6"/>
      <c r="R220" s="2"/>
      <c r="S220" s="2"/>
      <c r="T220" s="2"/>
      <c r="U220" s="2"/>
      <c r="V220" s="2"/>
      <c r="W220" s="2"/>
      <c r="X220" s="2"/>
      <c r="Y220" s="6"/>
      <c r="Z220" s="2"/>
      <c r="AA220" s="5"/>
      <c r="AB220" s="5"/>
    </row>
    <row r="221" spans="1:28" ht="12" customHeight="1" x14ac:dyDescent="0.3">
      <c r="A221" s="2"/>
      <c r="B221" s="2"/>
      <c r="C221" s="2"/>
      <c r="D221" s="2"/>
      <c r="E221" s="6"/>
      <c r="F221" s="2"/>
      <c r="G221" s="2"/>
      <c r="H221" s="2"/>
      <c r="I221" s="6"/>
      <c r="J221" s="2"/>
      <c r="K221" s="2"/>
      <c r="L221" s="2"/>
      <c r="M221" s="6"/>
      <c r="N221" s="2"/>
      <c r="O221" s="2"/>
      <c r="P221" s="2"/>
      <c r="Q221" s="6"/>
      <c r="R221" s="2"/>
      <c r="S221" s="2"/>
      <c r="T221" s="2"/>
      <c r="U221" s="2"/>
      <c r="V221" s="2"/>
      <c r="W221" s="2"/>
      <c r="X221" s="2"/>
      <c r="Y221" s="6"/>
      <c r="Z221" s="2"/>
      <c r="AA221" s="5"/>
      <c r="AB221" s="5"/>
    </row>
    <row r="222" spans="1:28" ht="12" customHeight="1" x14ac:dyDescent="0.3">
      <c r="A222" s="2"/>
      <c r="B222" s="2"/>
      <c r="C222" s="2"/>
      <c r="D222" s="2"/>
      <c r="E222" s="6"/>
      <c r="F222" s="2"/>
      <c r="G222" s="2"/>
      <c r="H222" s="2"/>
      <c r="I222" s="6"/>
      <c r="J222" s="2"/>
      <c r="K222" s="2"/>
      <c r="L222" s="2"/>
      <c r="M222" s="6"/>
      <c r="N222" s="2"/>
      <c r="O222" s="2"/>
      <c r="P222" s="2"/>
      <c r="Q222" s="6"/>
      <c r="R222" s="2"/>
      <c r="S222" s="2"/>
      <c r="T222" s="2"/>
      <c r="U222" s="2"/>
      <c r="V222" s="2"/>
      <c r="W222" s="2"/>
      <c r="X222" s="2"/>
      <c r="Y222" s="6"/>
      <c r="Z222" s="2"/>
      <c r="AA222" s="5"/>
      <c r="AB222" s="5"/>
    </row>
    <row r="223" spans="1:28" ht="12" customHeight="1" x14ac:dyDescent="0.3">
      <c r="A223" s="2"/>
      <c r="B223" s="2"/>
      <c r="C223" s="2"/>
      <c r="D223" s="2"/>
      <c r="E223" s="6"/>
      <c r="F223" s="2"/>
      <c r="G223" s="2"/>
      <c r="H223" s="2"/>
      <c r="I223" s="6"/>
      <c r="J223" s="2"/>
      <c r="K223" s="2"/>
      <c r="L223" s="2"/>
      <c r="M223" s="6"/>
      <c r="N223" s="2"/>
      <c r="O223" s="2"/>
      <c r="P223" s="2"/>
      <c r="Q223" s="6"/>
      <c r="R223" s="2"/>
      <c r="S223" s="2"/>
      <c r="T223" s="2"/>
      <c r="U223" s="2"/>
      <c r="V223" s="2"/>
      <c r="W223" s="2"/>
      <c r="X223" s="2"/>
      <c r="Y223" s="6"/>
      <c r="Z223" s="2"/>
      <c r="AA223" s="5"/>
      <c r="AB223" s="5"/>
    </row>
    <row r="224" spans="1:28" ht="12" customHeight="1" x14ac:dyDescent="0.3">
      <c r="A224" s="2"/>
      <c r="B224" s="2"/>
      <c r="C224" s="2"/>
      <c r="D224" s="2"/>
      <c r="E224" s="6"/>
      <c r="F224" s="2"/>
      <c r="G224" s="2"/>
      <c r="H224" s="2"/>
      <c r="I224" s="6"/>
      <c r="J224" s="2"/>
      <c r="K224" s="2"/>
      <c r="L224" s="2"/>
      <c r="M224" s="6"/>
      <c r="N224" s="2"/>
      <c r="O224" s="2"/>
      <c r="P224" s="2"/>
      <c r="Q224" s="6"/>
      <c r="R224" s="2"/>
      <c r="S224" s="2"/>
      <c r="T224" s="2"/>
      <c r="U224" s="2"/>
      <c r="V224" s="2"/>
      <c r="W224" s="2"/>
      <c r="X224" s="2"/>
      <c r="Y224" s="6"/>
      <c r="Z224" s="2"/>
      <c r="AA224" s="5"/>
      <c r="AB224" s="5"/>
    </row>
    <row r="225" spans="1:28" ht="12" customHeight="1" x14ac:dyDescent="0.3">
      <c r="A225" s="2"/>
      <c r="B225" s="2"/>
      <c r="C225" s="2"/>
      <c r="D225" s="2"/>
      <c r="E225" s="6"/>
      <c r="F225" s="2"/>
      <c r="G225" s="2"/>
      <c r="H225" s="2"/>
      <c r="I225" s="6"/>
      <c r="J225" s="2"/>
      <c r="K225" s="2"/>
      <c r="L225" s="2"/>
      <c r="M225" s="6"/>
      <c r="N225" s="2"/>
      <c r="O225" s="2"/>
      <c r="P225" s="2"/>
      <c r="Q225" s="6"/>
      <c r="R225" s="2"/>
      <c r="S225" s="2"/>
      <c r="T225" s="2"/>
      <c r="U225" s="2"/>
      <c r="V225" s="2"/>
      <c r="W225" s="2"/>
      <c r="X225" s="2"/>
      <c r="Y225" s="6"/>
      <c r="Z225" s="2"/>
      <c r="AA225" s="5"/>
      <c r="AB225" s="5"/>
    </row>
    <row r="226" spans="1:28" ht="12" customHeight="1" x14ac:dyDescent="0.3">
      <c r="A226" s="2"/>
      <c r="B226" s="2"/>
      <c r="C226" s="2"/>
      <c r="D226" s="2"/>
      <c r="E226" s="6"/>
      <c r="F226" s="2"/>
      <c r="G226" s="2"/>
      <c r="H226" s="2"/>
      <c r="I226" s="6"/>
      <c r="J226" s="2"/>
      <c r="K226" s="2"/>
      <c r="L226" s="2"/>
      <c r="M226" s="6"/>
      <c r="N226" s="2"/>
      <c r="O226" s="2"/>
      <c r="P226" s="2"/>
      <c r="Q226" s="6"/>
      <c r="R226" s="2"/>
      <c r="S226" s="2"/>
      <c r="T226" s="2"/>
      <c r="U226" s="2"/>
      <c r="V226" s="2"/>
      <c r="W226" s="2"/>
      <c r="X226" s="2"/>
      <c r="Y226" s="6"/>
      <c r="Z226" s="2"/>
      <c r="AA226" s="5"/>
      <c r="AB226" s="5"/>
    </row>
    <row r="227" spans="1:28" ht="12" customHeight="1" x14ac:dyDescent="0.3">
      <c r="A227" s="2"/>
      <c r="B227" s="2"/>
      <c r="C227" s="2"/>
      <c r="D227" s="2"/>
      <c r="E227" s="6"/>
      <c r="F227" s="2"/>
      <c r="G227" s="2"/>
      <c r="H227" s="2"/>
      <c r="I227" s="6"/>
      <c r="J227" s="2"/>
      <c r="K227" s="2"/>
      <c r="L227" s="2"/>
      <c r="M227" s="6"/>
      <c r="N227" s="2"/>
      <c r="O227" s="2"/>
      <c r="P227" s="2"/>
      <c r="Q227" s="6"/>
      <c r="R227" s="2"/>
      <c r="S227" s="2"/>
      <c r="T227" s="2"/>
      <c r="U227" s="2"/>
      <c r="V227" s="2"/>
      <c r="W227" s="2"/>
      <c r="X227" s="2"/>
      <c r="Y227" s="6"/>
      <c r="Z227" s="2"/>
      <c r="AA227" s="5"/>
      <c r="AB227" s="5"/>
    </row>
    <row r="228" spans="1:28" ht="12" customHeight="1" x14ac:dyDescent="0.3">
      <c r="A228" s="2"/>
      <c r="B228" s="2"/>
      <c r="C228" s="2"/>
      <c r="D228" s="2"/>
      <c r="E228" s="6"/>
      <c r="F228" s="2"/>
      <c r="G228" s="2"/>
      <c r="H228" s="2"/>
      <c r="I228" s="6"/>
      <c r="J228" s="2"/>
      <c r="K228" s="2"/>
      <c r="L228" s="2"/>
      <c r="M228" s="6"/>
      <c r="N228" s="2"/>
      <c r="O228" s="2"/>
      <c r="P228" s="2"/>
      <c r="Q228" s="6"/>
      <c r="R228" s="2"/>
      <c r="S228" s="2"/>
      <c r="T228" s="2"/>
      <c r="U228" s="2"/>
      <c r="V228" s="2"/>
      <c r="W228" s="2"/>
      <c r="X228" s="2"/>
      <c r="Y228" s="6"/>
      <c r="Z228" s="2"/>
      <c r="AA228" s="5"/>
      <c r="AB228" s="5"/>
    </row>
    <row r="229" spans="1:28" ht="12" customHeight="1" x14ac:dyDescent="0.3">
      <c r="A229" s="2"/>
      <c r="B229" s="2"/>
      <c r="C229" s="2"/>
      <c r="D229" s="2"/>
      <c r="E229" s="6"/>
      <c r="F229" s="2"/>
      <c r="G229" s="2"/>
      <c r="H229" s="2"/>
      <c r="I229" s="6"/>
      <c r="J229" s="2"/>
      <c r="K229" s="2"/>
      <c r="L229" s="2"/>
      <c r="M229" s="6"/>
      <c r="N229" s="2"/>
      <c r="O229" s="2"/>
      <c r="P229" s="2"/>
      <c r="Q229" s="6"/>
      <c r="R229" s="2"/>
      <c r="S229" s="2"/>
      <c r="T229" s="2"/>
      <c r="U229" s="2"/>
      <c r="V229" s="2"/>
      <c r="W229" s="2"/>
      <c r="X229" s="2"/>
      <c r="Y229" s="6"/>
      <c r="Z229" s="2"/>
      <c r="AA229" s="5"/>
      <c r="AB229" s="5"/>
    </row>
    <row r="230" spans="1:28" ht="12" customHeight="1" x14ac:dyDescent="0.3">
      <c r="A230" s="2"/>
      <c r="B230" s="2"/>
      <c r="C230" s="2"/>
      <c r="D230" s="2"/>
      <c r="E230" s="6"/>
      <c r="F230" s="2"/>
      <c r="G230" s="2"/>
      <c r="H230" s="2"/>
      <c r="I230" s="6"/>
      <c r="J230" s="2"/>
      <c r="K230" s="2"/>
      <c r="L230" s="2"/>
      <c r="M230" s="6"/>
      <c r="N230" s="2"/>
      <c r="O230" s="2"/>
      <c r="P230" s="2"/>
      <c r="Q230" s="6"/>
      <c r="R230" s="2"/>
      <c r="S230" s="2"/>
      <c r="T230" s="2"/>
      <c r="U230" s="2"/>
      <c r="V230" s="2"/>
      <c r="W230" s="2"/>
      <c r="X230" s="2"/>
      <c r="Y230" s="6"/>
      <c r="Z230" s="2"/>
      <c r="AA230" s="5"/>
      <c r="AB230" s="5"/>
    </row>
    <row r="231" spans="1:28" ht="12" customHeight="1" x14ac:dyDescent="0.3">
      <c r="A231" s="2"/>
      <c r="B231" s="2"/>
      <c r="C231" s="2"/>
      <c r="D231" s="2"/>
      <c r="E231" s="6"/>
      <c r="F231" s="2"/>
      <c r="G231" s="2"/>
      <c r="H231" s="2"/>
      <c r="I231" s="6"/>
      <c r="J231" s="2"/>
      <c r="K231" s="2"/>
      <c r="L231" s="2"/>
      <c r="M231" s="6"/>
      <c r="N231" s="2"/>
      <c r="O231" s="2"/>
      <c r="P231" s="2"/>
      <c r="Q231" s="6"/>
      <c r="R231" s="2"/>
      <c r="S231" s="2"/>
      <c r="T231" s="2"/>
      <c r="U231" s="2"/>
      <c r="V231" s="2"/>
      <c r="W231" s="2"/>
      <c r="X231" s="2"/>
      <c r="Y231" s="6"/>
      <c r="Z231" s="2"/>
      <c r="AA231" s="5"/>
      <c r="AB231" s="5"/>
    </row>
    <row r="232" spans="1:28" ht="12" customHeight="1" x14ac:dyDescent="0.3">
      <c r="A232" s="2"/>
      <c r="B232" s="2"/>
      <c r="C232" s="2"/>
      <c r="D232" s="2"/>
      <c r="E232" s="6"/>
      <c r="F232" s="2"/>
      <c r="G232" s="2"/>
      <c r="H232" s="2"/>
      <c r="I232" s="6"/>
      <c r="J232" s="2"/>
      <c r="K232" s="2"/>
      <c r="L232" s="2"/>
      <c r="M232" s="6"/>
      <c r="N232" s="2"/>
      <c r="O232" s="2"/>
      <c r="P232" s="2"/>
      <c r="Q232" s="6"/>
      <c r="R232" s="2"/>
      <c r="S232" s="2"/>
      <c r="T232" s="2"/>
      <c r="U232" s="2"/>
      <c r="V232" s="2"/>
      <c r="W232" s="2"/>
      <c r="X232" s="2"/>
      <c r="Y232" s="6"/>
      <c r="Z232" s="2"/>
      <c r="AA232" s="5"/>
      <c r="AB232" s="5"/>
    </row>
    <row r="233" spans="1:28" ht="12" customHeight="1" x14ac:dyDescent="0.3">
      <c r="A233" s="2"/>
      <c r="B233" s="2"/>
      <c r="C233" s="2"/>
      <c r="D233" s="2"/>
      <c r="E233" s="6"/>
      <c r="F233" s="2"/>
      <c r="G233" s="2"/>
      <c r="H233" s="2"/>
      <c r="I233" s="6"/>
      <c r="J233" s="2"/>
      <c r="K233" s="2"/>
      <c r="L233" s="2"/>
      <c r="M233" s="6"/>
      <c r="N233" s="2"/>
      <c r="O233" s="2"/>
      <c r="P233" s="2"/>
      <c r="Q233" s="6"/>
      <c r="R233" s="2"/>
      <c r="S233" s="2"/>
      <c r="T233" s="2"/>
      <c r="U233" s="2"/>
      <c r="V233" s="2"/>
      <c r="W233" s="2"/>
      <c r="X233" s="2"/>
      <c r="Y233" s="6"/>
      <c r="Z233" s="2"/>
      <c r="AA233" s="5"/>
      <c r="AB233" s="5"/>
    </row>
    <row r="234" spans="1:28" ht="12" customHeight="1" x14ac:dyDescent="0.3">
      <c r="A234" s="2"/>
      <c r="B234" s="2"/>
      <c r="C234" s="2"/>
      <c r="D234" s="2"/>
      <c r="E234" s="6"/>
      <c r="F234" s="2"/>
      <c r="G234" s="2"/>
      <c r="H234" s="2"/>
      <c r="I234" s="6"/>
      <c r="J234" s="2"/>
      <c r="K234" s="2"/>
      <c r="L234" s="2"/>
      <c r="M234" s="6"/>
      <c r="N234" s="2"/>
      <c r="O234" s="2"/>
      <c r="P234" s="2"/>
      <c r="Q234" s="6"/>
      <c r="R234" s="2"/>
      <c r="S234" s="2"/>
      <c r="T234" s="2"/>
      <c r="U234" s="2"/>
      <c r="V234" s="2"/>
      <c r="W234" s="2"/>
      <c r="X234" s="2"/>
      <c r="Y234" s="6"/>
      <c r="Z234" s="2"/>
      <c r="AA234" s="5"/>
      <c r="AB234" s="5"/>
    </row>
    <row r="235" spans="1:28" ht="12" customHeight="1" x14ac:dyDescent="0.3">
      <c r="A235" s="2"/>
      <c r="B235" s="2"/>
      <c r="C235" s="2"/>
      <c r="D235" s="2"/>
      <c r="E235" s="6"/>
      <c r="F235" s="2"/>
      <c r="G235" s="2"/>
      <c r="H235" s="2"/>
      <c r="I235" s="6"/>
      <c r="J235" s="2"/>
      <c r="K235" s="2"/>
      <c r="L235" s="2"/>
      <c r="M235" s="6"/>
      <c r="N235" s="2"/>
      <c r="O235" s="2"/>
      <c r="P235" s="2"/>
      <c r="Q235" s="6"/>
      <c r="R235" s="2"/>
      <c r="S235" s="2"/>
      <c r="T235" s="2"/>
      <c r="U235" s="2"/>
      <c r="V235" s="2"/>
      <c r="W235" s="2"/>
      <c r="X235" s="2"/>
      <c r="Y235" s="6"/>
      <c r="Z235" s="2"/>
      <c r="AA235" s="5"/>
      <c r="AB235" s="5"/>
    </row>
    <row r="236" spans="1:28" ht="12" customHeight="1" x14ac:dyDescent="0.3">
      <c r="A236" s="2"/>
      <c r="B236" s="2"/>
      <c r="C236" s="2"/>
      <c r="D236" s="2"/>
      <c r="E236" s="6"/>
      <c r="F236" s="2"/>
      <c r="G236" s="2"/>
      <c r="H236" s="2"/>
      <c r="I236" s="6"/>
      <c r="J236" s="2"/>
      <c r="K236" s="2"/>
      <c r="L236" s="2"/>
      <c r="M236" s="6"/>
      <c r="N236" s="2"/>
      <c r="O236" s="2"/>
      <c r="P236" s="2"/>
      <c r="Q236" s="6"/>
      <c r="R236" s="2"/>
      <c r="S236" s="2"/>
      <c r="T236" s="2"/>
      <c r="U236" s="2"/>
      <c r="V236" s="2"/>
      <c r="W236" s="2"/>
      <c r="X236" s="2"/>
      <c r="Y236" s="6"/>
      <c r="Z236" s="2"/>
      <c r="AA236" s="5"/>
      <c r="AB236" s="5"/>
    </row>
    <row r="237" spans="1:28" ht="12" customHeight="1" x14ac:dyDescent="0.3">
      <c r="A237" s="2"/>
      <c r="B237" s="2"/>
      <c r="C237" s="2"/>
      <c r="D237" s="2"/>
      <c r="E237" s="6"/>
      <c r="F237" s="2"/>
      <c r="G237" s="2"/>
      <c r="H237" s="2"/>
      <c r="I237" s="6"/>
      <c r="J237" s="2"/>
      <c r="K237" s="2"/>
      <c r="L237" s="2"/>
      <c r="M237" s="6"/>
      <c r="N237" s="2"/>
      <c r="O237" s="2"/>
      <c r="P237" s="2"/>
      <c r="Q237" s="6"/>
      <c r="R237" s="2"/>
      <c r="S237" s="2"/>
      <c r="T237" s="2"/>
      <c r="U237" s="2"/>
      <c r="V237" s="2"/>
      <c r="W237" s="2"/>
      <c r="X237" s="2"/>
      <c r="Y237" s="6"/>
      <c r="Z237" s="2"/>
      <c r="AA237" s="5"/>
      <c r="AB237" s="5"/>
    </row>
    <row r="238" spans="1:28" ht="12" customHeight="1" x14ac:dyDescent="0.3">
      <c r="A238" s="2"/>
      <c r="B238" s="2"/>
      <c r="C238" s="2"/>
      <c r="D238" s="2"/>
      <c r="E238" s="6"/>
      <c r="F238" s="2"/>
      <c r="G238" s="2"/>
      <c r="H238" s="2"/>
      <c r="I238" s="6"/>
      <c r="J238" s="2"/>
      <c r="K238" s="2"/>
      <c r="L238" s="2"/>
      <c r="M238" s="6"/>
      <c r="N238" s="2"/>
      <c r="O238" s="2"/>
      <c r="P238" s="2"/>
      <c r="Q238" s="6"/>
      <c r="R238" s="2"/>
      <c r="S238" s="2"/>
      <c r="T238" s="2"/>
      <c r="U238" s="2"/>
      <c r="V238" s="2"/>
      <c r="W238" s="2"/>
      <c r="X238" s="2"/>
      <c r="Y238" s="6"/>
      <c r="Z238" s="2"/>
      <c r="AA238" s="5"/>
      <c r="AB238" s="5"/>
    </row>
    <row r="239" spans="1:28" ht="12" customHeight="1" x14ac:dyDescent="0.3">
      <c r="A239" s="2"/>
      <c r="B239" s="2"/>
      <c r="C239" s="2"/>
      <c r="D239" s="2"/>
      <c r="E239" s="6"/>
      <c r="F239" s="2"/>
      <c r="G239" s="2"/>
      <c r="H239" s="2"/>
      <c r="I239" s="6"/>
      <c r="J239" s="2"/>
      <c r="K239" s="2"/>
      <c r="L239" s="2"/>
      <c r="M239" s="6"/>
      <c r="N239" s="2"/>
      <c r="O239" s="2"/>
      <c r="P239" s="2"/>
      <c r="Q239" s="6"/>
      <c r="R239" s="2"/>
      <c r="S239" s="2"/>
      <c r="T239" s="2"/>
      <c r="U239" s="2"/>
      <c r="V239" s="2"/>
      <c r="W239" s="2"/>
      <c r="X239" s="2"/>
      <c r="Y239" s="6"/>
      <c r="Z239" s="2"/>
      <c r="AA239" s="5"/>
      <c r="AB239" s="5"/>
    </row>
    <row r="240" spans="1:28" ht="12" customHeight="1" x14ac:dyDescent="0.3">
      <c r="A240" s="2"/>
      <c r="B240" s="2"/>
      <c r="C240" s="2"/>
      <c r="D240" s="2"/>
      <c r="E240" s="6"/>
      <c r="F240" s="2"/>
      <c r="G240" s="2"/>
      <c r="H240" s="2"/>
      <c r="I240" s="6"/>
      <c r="J240" s="2"/>
      <c r="K240" s="2"/>
      <c r="L240" s="2"/>
      <c r="M240" s="6"/>
      <c r="N240" s="2"/>
      <c r="O240" s="2"/>
      <c r="P240" s="2"/>
      <c r="Q240" s="6"/>
      <c r="R240" s="2"/>
      <c r="S240" s="2"/>
      <c r="T240" s="2"/>
      <c r="U240" s="2"/>
      <c r="V240" s="2"/>
      <c r="W240" s="2"/>
      <c r="X240" s="2"/>
      <c r="Y240" s="6"/>
      <c r="Z240" s="2"/>
      <c r="AA240" s="5"/>
      <c r="AB240" s="5"/>
    </row>
    <row r="241" spans="1:28" ht="12" customHeight="1" x14ac:dyDescent="0.3">
      <c r="A241" s="2"/>
      <c r="B241" s="2"/>
      <c r="C241" s="2"/>
      <c r="D241" s="2"/>
      <c r="E241" s="6"/>
      <c r="F241" s="2"/>
      <c r="G241" s="2"/>
      <c r="H241" s="2"/>
      <c r="I241" s="6"/>
      <c r="J241" s="2"/>
      <c r="K241" s="2"/>
      <c r="L241" s="2"/>
      <c r="M241" s="6"/>
      <c r="N241" s="2"/>
      <c r="O241" s="2"/>
      <c r="P241" s="2"/>
      <c r="Q241" s="6"/>
      <c r="R241" s="2"/>
      <c r="S241" s="2"/>
      <c r="T241" s="2"/>
      <c r="U241" s="2"/>
      <c r="V241" s="2"/>
      <c r="W241" s="2"/>
      <c r="X241" s="2"/>
      <c r="Y241" s="6"/>
      <c r="Z241" s="2"/>
      <c r="AA241" s="5"/>
      <c r="AB241" s="5"/>
    </row>
    <row r="242" spans="1:28" ht="12" customHeight="1" x14ac:dyDescent="0.3">
      <c r="A242" s="2"/>
      <c r="B242" s="2"/>
      <c r="C242" s="2"/>
      <c r="D242" s="2"/>
      <c r="E242" s="6"/>
      <c r="F242" s="2"/>
      <c r="G242" s="2"/>
      <c r="H242" s="2"/>
      <c r="I242" s="6"/>
      <c r="J242" s="2"/>
      <c r="K242" s="2"/>
      <c r="L242" s="2"/>
      <c r="M242" s="6"/>
      <c r="N242" s="2"/>
      <c r="O242" s="2"/>
      <c r="P242" s="2"/>
      <c r="Q242" s="6"/>
      <c r="R242" s="2"/>
      <c r="S242" s="2"/>
      <c r="T242" s="2"/>
      <c r="U242" s="2"/>
      <c r="V242" s="2"/>
      <c r="W242" s="2"/>
      <c r="X242" s="2"/>
      <c r="Y242" s="6"/>
      <c r="Z242" s="2"/>
      <c r="AA242" s="5"/>
      <c r="AB242" s="5"/>
    </row>
    <row r="243" spans="1:28" ht="12" customHeight="1" x14ac:dyDescent="0.3">
      <c r="A243" s="2"/>
      <c r="B243" s="2"/>
      <c r="C243" s="2"/>
      <c r="D243" s="2"/>
      <c r="E243" s="6"/>
      <c r="F243" s="2"/>
      <c r="G243" s="2"/>
      <c r="H243" s="2"/>
      <c r="I243" s="6"/>
      <c r="J243" s="2"/>
      <c r="K243" s="2"/>
      <c r="L243" s="2"/>
      <c r="M243" s="6"/>
      <c r="N243" s="2"/>
      <c r="O243" s="2"/>
      <c r="P243" s="2"/>
      <c r="Q243" s="6"/>
      <c r="R243" s="2"/>
      <c r="S243" s="2"/>
      <c r="T243" s="2"/>
      <c r="U243" s="2"/>
      <c r="V243" s="2"/>
      <c r="W243" s="2"/>
      <c r="X243" s="2"/>
      <c r="Y243" s="6"/>
      <c r="Z243" s="2"/>
      <c r="AA243" s="5"/>
      <c r="AB243" s="5"/>
    </row>
    <row r="244" spans="1:28" ht="12" customHeight="1" x14ac:dyDescent="0.3">
      <c r="A244" s="2"/>
      <c r="B244" s="2"/>
      <c r="C244" s="2"/>
      <c r="D244" s="2"/>
      <c r="E244" s="6"/>
      <c r="F244" s="2"/>
      <c r="G244" s="2"/>
      <c r="H244" s="2"/>
      <c r="I244" s="6"/>
      <c r="J244" s="2"/>
      <c r="K244" s="2"/>
      <c r="L244" s="2"/>
      <c r="M244" s="6"/>
      <c r="N244" s="2"/>
      <c r="O244" s="2"/>
      <c r="P244" s="2"/>
      <c r="Q244" s="6"/>
      <c r="R244" s="2"/>
      <c r="S244" s="2"/>
      <c r="T244" s="2"/>
      <c r="U244" s="2"/>
      <c r="V244" s="2"/>
      <c r="W244" s="2"/>
      <c r="X244" s="2"/>
      <c r="Y244" s="6"/>
      <c r="Z244" s="2"/>
      <c r="AA244" s="5"/>
      <c r="AB244" s="5"/>
    </row>
    <row r="245" spans="1:28" ht="12" customHeight="1" x14ac:dyDescent="0.3">
      <c r="A245" s="2"/>
      <c r="B245" s="2"/>
      <c r="C245" s="2"/>
      <c r="D245" s="2"/>
      <c r="E245" s="6"/>
      <c r="F245" s="2"/>
      <c r="G245" s="2"/>
      <c r="H245" s="2"/>
      <c r="I245" s="6"/>
      <c r="J245" s="2"/>
      <c r="K245" s="2"/>
      <c r="L245" s="2"/>
      <c r="M245" s="6"/>
      <c r="N245" s="2"/>
      <c r="O245" s="2"/>
      <c r="P245" s="2"/>
      <c r="Q245" s="6"/>
      <c r="R245" s="2"/>
      <c r="S245" s="2"/>
      <c r="T245" s="2"/>
      <c r="U245" s="2"/>
      <c r="V245" s="2"/>
      <c r="W245" s="2"/>
      <c r="X245" s="2"/>
      <c r="Y245" s="6"/>
      <c r="Z245" s="2"/>
      <c r="AA245" s="5"/>
      <c r="AB245" s="5"/>
    </row>
    <row r="246" spans="1:28" ht="12" customHeight="1" x14ac:dyDescent="0.3">
      <c r="A246" s="2"/>
      <c r="B246" s="2"/>
      <c r="C246" s="2"/>
      <c r="D246" s="2"/>
      <c r="E246" s="6"/>
      <c r="F246" s="2"/>
      <c r="G246" s="2"/>
      <c r="H246" s="2"/>
      <c r="I246" s="6"/>
      <c r="J246" s="2"/>
      <c r="K246" s="2"/>
      <c r="L246" s="2"/>
      <c r="M246" s="6"/>
      <c r="N246" s="2"/>
      <c r="O246" s="2"/>
      <c r="P246" s="2"/>
      <c r="Q246" s="6"/>
      <c r="R246" s="2"/>
      <c r="S246" s="2"/>
      <c r="T246" s="2"/>
      <c r="U246" s="2"/>
      <c r="V246" s="2"/>
      <c r="W246" s="2"/>
      <c r="X246" s="2"/>
      <c r="Y246" s="6"/>
      <c r="Z246" s="2"/>
      <c r="AA246" s="5"/>
      <c r="AB246" s="5"/>
    </row>
    <row r="247" spans="1:28" ht="12" customHeight="1" x14ac:dyDescent="0.3">
      <c r="A247" s="2"/>
      <c r="B247" s="2"/>
      <c r="C247" s="2"/>
      <c r="D247" s="2"/>
      <c r="E247" s="6"/>
      <c r="F247" s="2"/>
      <c r="G247" s="2"/>
      <c r="H247" s="2"/>
      <c r="I247" s="6"/>
      <c r="J247" s="2"/>
      <c r="K247" s="2"/>
      <c r="L247" s="2"/>
      <c r="M247" s="6"/>
      <c r="N247" s="2"/>
      <c r="O247" s="2"/>
      <c r="P247" s="2"/>
      <c r="Q247" s="6"/>
      <c r="R247" s="2"/>
      <c r="S247" s="2"/>
      <c r="T247" s="2"/>
      <c r="U247" s="2"/>
      <c r="V247" s="2"/>
      <c r="W247" s="2"/>
      <c r="X247" s="2"/>
      <c r="Y247" s="6"/>
      <c r="Z247" s="2"/>
      <c r="AA247" s="5"/>
      <c r="AB247" s="5"/>
    </row>
    <row r="248" spans="1:28" ht="12" customHeight="1" x14ac:dyDescent="0.3">
      <c r="A248" s="2"/>
      <c r="B248" s="2"/>
      <c r="C248" s="2"/>
      <c r="D248" s="2"/>
      <c r="E248" s="6"/>
      <c r="F248" s="2"/>
      <c r="G248" s="2"/>
      <c r="H248" s="2"/>
      <c r="I248" s="6"/>
      <c r="J248" s="2"/>
      <c r="K248" s="2"/>
      <c r="L248" s="2"/>
      <c r="M248" s="6"/>
      <c r="N248" s="2"/>
      <c r="O248" s="2"/>
      <c r="P248" s="2"/>
      <c r="Q248" s="6"/>
      <c r="R248" s="2"/>
      <c r="S248" s="2"/>
      <c r="T248" s="2"/>
      <c r="U248" s="2"/>
      <c r="V248" s="2"/>
      <c r="W248" s="2"/>
      <c r="X248" s="2"/>
      <c r="Y248" s="6"/>
      <c r="Z248" s="2"/>
      <c r="AA248" s="5"/>
      <c r="AB248" s="5"/>
    </row>
    <row r="249" spans="1:28" ht="12" customHeight="1" x14ac:dyDescent="0.3">
      <c r="A249" s="2"/>
      <c r="B249" s="2"/>
      <c r="C249" s="2"/>
      <c r="D249" s="2"/>
      <c r="E249" s="6"/>
      <c r="F249" s="2"/>
      <c r="G249" s="2"/>
      <c r="H249" s="2"/>
      <c r="I249" s="6"/>
      <c r="J249" s="2"/>
      <c r="K249" s="2"/>
      <c r="L249" s="2"/>
      <c r="M249" s="6"/>
      <c r="N249" s="2"/>
      <c r="O249" s="2"/>
      <c r="P249" s="2"/>
      <c r="Q249" s="6"/>
      <c r="R249" s="2"/>
      <c r="S249" s="2"/>
      <c r="T249" s="2"/>
      <c r="U249" s="2"/>
      <c r="V249" s="2"/>
      <c r="W249" s="2"/>
      <c r="X249" s="2"/>
      <c r="Y249" s="6"/>
      <c r="Z249" s="2"/>
      <c r="AA249" s="5"/>
      <c r="AB249" s="5"/>
    </row>
    <row r="250" spans="1:28" ht="12" customHeight="1" x14ac:dyDescent="0.3">
      <c r="A250" s="2"/>
      <c r="B250" s="2"/>
      <c r="C250" s="2"/>
      <c r="D250" s="2"/>
      <c r="E250" s="6"/>
      <c r="F250" s="2"/>
      <c r="G250" s="2"/>
      <c r="H250" s="2"/>
      <c r="I250" s="6"/>
      <c r="J250" s="2"/>
      <c r="K250" s="2"/>
      <c r="L250" s="2"/>
      <c r="M250" s="6"/>
      <c r="N250" s="2"/>
      <c r="O250" s="2"/>
      <c r="P250" s="2"/>
      <c r="Q250" s="6"/>
      <c r="R250" s="2"/>
      <c r="S250" s="2"/>
      <c r="T250" s="2"/>
      <c r="U250" s="2"/>
      <c r="V250" s="2"/>
      <c r="W250" s="2"/>
      <c r="X250" s="2"/>
      <c r="Y250" s="6"/>
      <c r="Z250" s="2"/>
      <c r="AA250" s="5"/>
      <c r="AB250" s="5"/>
    </row>
    <row r="251" spans="1:28" ht="12" customHeight="1" x14ac:dyDescent="0.3">
      <c r="A251" s="2"/>
      <c r="B251" s="2"/>
      <c r="C251" s="2"/>
      <c r="D251" s="2"/>
      <c r="E251" s="6"/>
      <c r="F251" s="2"/>
      <c r="G251" s="2"/>
      <c r="H251" s="2"/>
      <c r="I251" s="6"/>
      <c r="J251" s="2"/>
      <c r="K251" s="2"/>
      <c r="L251" s="2"/>
      <c r="M251" s="6"/>
      <c r="N251" s="2"/>
      <c r="O251" s="2"/>
      <c r="P251" s="2"/>
      <c r="Q251" s="6"/>
      <c r="R251" s="2"/>
      <c r="S251" s="2"/>
      <c r="T251" s="2"/>
      <c r="U251" s="2"/>
      <c r="V251" s="2"/>
      <c r="W251" s="2"/>
      <c r="X251" s="2"/>
      <c r="Y251" s="6"/>
      <c r="Z251" s="2"/>
      <c r="AA251" s="5"/>
      <c r="AB251" s="5"/>
    </row>
    <row r="252" spans="1:28" ht="12" customHeight="1" x14ac:dyDescent="0.3">
      <c r="A252" s="2"/>
      <c r="B252" s="2"/>
      <c r="C252" s="2"/>
      <c r="D252" s="2"/>
      <c r="E252" s="6"/>
      <c r="F252" s="2"/>
      <c r="G252" s="2"/>
      <c r="H252" s="2"/>
      <c r="I252" s="6"/>
      <c r="J252" s="2"/>
      <c r="K252" s="2"/>
      <c r="L252" s="2"/>
      <c r="M252" s="6"/>
      <c r="N252" s="2"/>
      <c r="O252" s="2"/>
      <c r="P252" s="2"/>
      <c r="Q252" s="6"/>
      <c r="R252" s="2"/>
      <c r="S252" s="2"/>
      <c r="T252" s="2"/>
      <c r="U252" s="2"/>
      <c r="V252" s="2"/>
      <c r="W252" s="2"/>
      <c r="X252" s="2"/>
      <c r="Y252" s="6"/>
      <c r="Z252" s="2"/>
      <c r="AA252" s="5"/>
      <c r="AB252" s="5"/>
    </row>
    <row r="253" spans="1:28" ht="12" customHeight="1" x14ac:dyDescent="0.3">
      <c r="A253" s="2"/>
      <c r="B253" s="2"/>
      <c r="C253" s="2"/>
      <c r="D253" s="2"/>
      <c r="E253" s="6"/>
      <c r="F253" s="2"/>
      <c r="G253" s="2"/>
      <c r="H253" s="2"/>
      <c r="I253" s="6"/>
      <c r="J253" s="2"/>
      <c r="K253" s="2"/>
      <c r="L253" s="2"/>
      <c r="M253" s="6"/>
      <c r="N253" s="2"/>
      <c r="O253" s="2"/>
      <c r="P253" s="2"/>
      <c r="Q253" s="6"/>
      <c r="R253" s="2"/>
      <c r="S253" s="2"/>
      <c r="T253" s="2"/>
      <c r="U253" s="2"/>
      <c r="V253" s="2"/>
      <c r="W253" s="2"/>
      <c r="X253" s="2"/>
      <c r="Y253" s="6"/>
      <c r="Z253" s="2"/>
      <c r="AA253" s="5"/>
      <c r="AB253" s="5"/>
    </row>
    <row r="254" spans="1:28" ht="12" customHeight="1" x14ac:dyDescent="0.3">
      <c r="A254" s="2"/>
      <c r="B254" s="2"/>
      <c r="C254" s="2"/>
      <c r="D254" s="2"/>
      <c r="E254" s="6"/>
      <c r="F254" s="2"/>
      <c r="G254" s="2"/>
      <c r="H254" s="2"/>
      <c r="I254" s="6"/>
      <c r="J254" s="2"/>
      <c r="K254" s="2"/>
      <c r="L254" s="2"/>
      <c r="M254" s="6"/>
      <c r="N254" s="2"/>
      <c r="O254" s="2"/>
      <c r="P254" s="2"/>
      <c r="Q254" s="6"/>
      <c r="R254" s="2"/>
      <c r="S254" s="2"/>
      <c r="T254" s="2"/>
      <c r="U254" s="2"/>
      <c r="V254" s="2"/>
      <c r="W254" s="2"/>
      <c r="X254" s="2"/>
      <c r="Y254" s="6"/>
      <c r="Z254" s="2"/>
      <c r="AA254" s="5"/>
      <c r="AB254" s="5"/>
    </row>
    <row r="255" spans="1:28" ht="12" customHeight="1" x14ac:dyDescent="0.3">
      <c r="A255" s="2"/>
      <c r="B255" s="2"/>
      <c r="C255" s="2"/>
      <c r="D255" s="2"/>
      <c r="E255" s="6"/>
      <c r="F255" s="2"/>
      <c r="G255" s="2"/>
      <c r="H255" s="2"/>
      <c r="I255" s="6"/>
      <c r="J255" s="2"/>
      <c r="K255" s="2"/>
      <c r="L255" s="2"/>
      <c r="M255" s="6"/>
      <c r="N255" s="2"/>
      <c r="O255" s="2"/>
      <c r="P255" s="2"/>
      <c r="Q255" s="6"/>
      <c r="R255" s="2"/>
      <c r="S255" s="2"/>
      <c r="T255" s="2"/>
      <c r="U255" s="2"/>
      <c r="V255" s="2"/>
      <c r="W255" s="2"/>
      <c r="X255" s="2"/>
      <c r="Y255" s="6"/>
      <c r="Z255" s="2"/>
      <c r="AA255" s="5"/>
      <c r="AB255" s="5"/>
    </row>
    <row r="256" spans="1:28" ht="12" customHeight="1" x14ac:dyDescent="0.3">
      <c r="A256" s="2"/>
      <c r="B256" s="2"/>
      <c r="C256" s="2"/>
      <c r="D256" s="2"/>
      <c r="E256" s="6"/>
      <c r="F256" s="2"/>
      <c r="G256" s="2"/>
      <c r="H256" s="2"/>
      <c r="I256" s="6"/>
      <c r="J256" s="2"/>
      <c r="K256" s="2"/>
      <c r="L256" s="2"/>
      <c r="M256" s="6"/>
      <c r="N256" s="2"/>
      <c r="O256" s="2"/>
      <c r="P256" s="2"/>
      <c r="Q256" s="6"/>
      <c r="R256" s="2"/>
      <c r="S256" s="2"/>
      <c r="T256" s="2"/>
      <c r="U256" s="2"/>
      <c r="V256" s="2"/>
      <c r="W256" s="2"/>
      <c r="X256" s="2"/>
      <c r="Y256" s="6"/>
      <c r="Z256" s="2"/>
      <c r="AA256" s="5"/>
      <c r="AB256" s="5"/>
    </row>
    <row r="257" spans="1:28" ht="12" customHeight="1" x14ac:dyDescent="0.3">
      <c r="A257" s="2"/>
      <c r="B257" s="2"/>
      <c r="C257" s="2"/>
      <c r="D257" s="2"/>
      <c r="E257" s="6"/>
      <c r="F257" s="2"/>
      <c r="G257" s="2"/>
      <c r="H257" s="2"/>
      <c r="I257" s="6"/>
      <c r="J257" s="2"/>
      <c r="K257" s="2"/>
      <c r="L257" s="2"/>
      <c r="M257" s="6"/>
      <c r="N257" s="2"/>
      <c r="O257" s="2"/>
      <c r="P257" s="2"/>
      <c r="Q257" s="6"/>
      <c r="R257" s="2"/>
      <c r="S257" s="2"/>
      <c r="T257" s="2"/>
      <c r="U257" s="2"/>
      <c r="V257" s="2"/>
      <c r="W257" s="2"/>
      <c r="X257" s="2"/>
      <c r="Y257" s="6"/>
      <c r="Z257" s="2"/>
      <c r="AA257" s="5"/>
      <c r="AB257" s="5"/>
    </row>
    <row r="258" spans="1:28" ht="12" customHeight="1" x14ac:dyDescent="0.3">
      <c r="A258" s="2"/>
      <c r="B258" s="2"/>
      <c r="C258" s="2"/>
      <c r="D258" s="2"/>
      <c r="E258" s="6"/>
      <c r="F258" s="2"/>
      <c r="G258" s="2"/>
      <c r="H258" s="2"/>
      <c r="I258" s="6"/>
      <c r="J258" s="2"/>
      <c r="K258" s="2"/>
      <c r="L258" s="2"/>
      <c r="M258" s="6"/>
      <c r="N258" s="2"/>
      <c r="O258" s="2"/>
      <c r="P258" s="2"/>
      <c r="Q258" s="6"/>
      <c r="R258" s="2"/>
      <c r="S258" s="2"/>
      <c r="T258" s="2"/>
      <c r="U258" s="2"/>
      <c r="V258" s="2"/>
      <c r="W258" s="2"/>
      <c r="X258" s="2"/>
      <c r="Y258" s="6"/>
      <c r="Z258" s="2"/>
      <c r="AA258" s="5"/>
      <c r="AB258" s="5"/>
    </row>
    <row r="259" spans="1:28" ht="12" customHeight="1" x14ac:dyDescent="0.3">
      <c r="A259" s="2"/>
      <c r="B259" s="2"/>
      <c r="C259" s="2"/>
      <c r="D259" s="2"/>
      <c r="E259" s="6"/>
      <c r="F259" s="2"/>
      <c r="G259" s="2"/>
      <c r="H259" s="2"/>
      <c r="I259" s="6"/>
      <c r="J259" s="2"/>
      <c r="K259" s="2"/>
      <c r="L259" s="2"/>
      <c r="M259" s="6"/>
      <c r="N259" s="2"/>
      <c r="O259" s="2"/>
      <c r="P259" s="2"/>
      <c r="Q259" s="6"/>
      <c r="R259" s="2"/>
      <c r="S259" s="2"/>
      <c r="T259" s="2"/>
      <c r="U259" s="2"/>
      <c r="V259" s="2"/>
      <c r="W259" s="2"/>
      <c r="X259" s="2"/>
      <c r="Y259" s="6"/>
      <c r="Z259" s="2"/>
      <c r="AA259" s="5"/>
      <c r="AB259" s="5"/>
    </row>
    <row r="260" spans="1:28" ht="12" customHeight="1" x14ac:dyDescent="0.3">
      <c r="A260" s="2"/>
      <c r="B260" s="2"/>
      <c r="C260" s="2"/>
      <c r="D260" s="2"/>
      <c r="E260" s="6"/>
      <c r="F260" s="2"/>
      <c r="G260" s="2"/>
      <c r="H260" s="2"/>
      <c r="I260" s="6"/>
      <c r="J260" s="2"/>
      <c r="K260" s="2"/>
      <c r="L260" s="2"/>
      <c r="M260" s="6"/>
      <c r="N260" s="2"/>
      <c r="O260" s="2"/>
      <c r="P260" s="2"/>
      <c r="Q260" s="6"/>
      <c r="R260" s="2"/>
      <c r="S260" s="2"/>
      <c r="T260" s="2"/>
      <c r="U260" s="2"/>
      <c r="V260" s="2"/>
      <c r="W260" s="2"/>
      <c r="X260" s="2"/>
      <c r="Y260" s="6"/>
      <c r="Z260" s="2"/>
      <c r="AA260" s="5"/>
      <c r="AB260" s="5"/>
    </row>
    <row r="261" spans="1:28" ht="12" customHeight="1" x14ac:dyDescent="0.3">
      <c r="A261" s="2"/>
      <c r="B261" s="2"/>
      <c r="C261" s="2"/>
      <c r="D261" s="2"/>
      <c r="E261" s="6"/>
      <c r="F261" s="2"/>
      <c r="G261" s="2"/>
      <c r="H261" s="2"/>
      <c r="I261" s="6"/>
      <c r="J261" s="2"/>
      <c r="K261" s="2"/>
      <c r="L261" s="2"/>
      <c r="M261" s="6"/>
      <c r="N261" s="2"/>
      <c r="O261" s="2"/>
      <c r="P261" s="2"/>
      <c r="Q261" s="6"/>
      <c r="R261" s="2"/>
      <c r="S261" s="2"/>
      <c r="T261" s="2"/>
      <c r="U261" s="2"/>
      <c r="V261" s="2"/>
      <c r="W261" s="2"/>
      <c r="X261" s="2"/>
      <c r="Y261" s="6"/>
      <c r="Z261" s="2"/>
      <c r="AA261" s="5"/>
      <c r="AB261" s="5"/>
    </row>
    <row r="262" spans="1:28" ht="12" customHeight="1" x14ac:dyDescent="0.3">
      <c r="A262" s="2"/>
      <c r="B262" s="2"/>
      <c r="C262" s="2"/>
      <c r="D262" s="2"/>
      <c r="E262" s="6"/>
      <c r="F262" s="2"/>
      <c r="G262" s="2"/>
      <c r="H262" s="2"/>
      <c r="I262" s="6"/>
      <c r="J262" s="2"/>
      <c r="K262" s="2"/>
      <c r="L262" s="2"/>
      <c r="M262" s="6"/>
      <c r="N262" s="2"/>
      <c r="O262" s="2"/>
      <c r="P262" s="2"/>
      <c r="Q262" s="6"/>
      <c r="R262" s="2"/>
      <c r="S262" s="2"/>
      <c r="T262" s="2"/>
      <c r="U262" s="2"/>
      <c r="V262" s="2"/>
      <c r="W262" s="2"/>
      <c r="X262" s="2"/>
      <c r="Y262" s="6"/>
      <c r="Z262" s="2"/>
      <c r="AA262" s="5"/>
      <c r="AB262" s="5"/>
    </row>
    <row r="263" spans="1:28" ht="12" customHeight="1" x14ac:dyDescent="0.3">
      <c r="A263" s="2"/>
      <c r="B263" s="2"/>
      <c r="C263" s="2"/>
      <c r="D263" s="2"/>
      <c r="E263" s="6"/>
      <c r="F263" s="2"/>
      <c r="G263" s="2"/>
      <c r="H263" s="2"/>
      <c r="I263" s="6"/>
      <c r="J263" s="2"/>
      <c r="K263" s="2"/>
      <c r="L263" s="2"/>
      <c r="M263" s="6"/>
      <c r="N263" s="2"/>
      <c r="O263" s="2"/>
      <c r="P263" s="2"/>
      <c r="Q263" s="6"/>
      <c r="R263" s="2"/>
      <c r="S263" s="2"/>
      <c r="T263" s="2"/>
      <c r="U263" s="2"/>
      <c r="V263" s="2"/>
      <c r="W263" s="2"/>
      <c r="X263" s="2"/>
      <c r="Y263" s="6"/>
      <c r="Z263" s="2"/>
      <c r="AA263" s="5"/>
      <c r="AB263" s="5"/>
    </row>
    <row r="264" spans="1:28" ht="12" customHeight="1" x14ac:dyDescent="0.3">
      <c r="A264" s="2"/>
      <c r="B264" s="2"/>
      <c r="C264" s="2"/>
      <c r="D264" s="2"/>
      <c r="E264" s="6"/>
      <c r="F264" s="2"/>
      <c r="G264" s="2"/>
      <c r="H264" s="2"/>
      <c r="I264" s="6"/>
      <c r="J264" s="2"/>
      <c r="K264" s="2"/>
      <c r="L264" s="2"/>
      <c r="M264" s="6"/>
      <c r="N264" s="2"/>
      <c r="O264" s="2"/>
      <c r="P264" s="2"/>
      <c r="Q264" s="6"/>
      <c r="R264" s="2"/>
      <c r="S264" s="2"/>
      <c r="T264" s="2"/>
      <c r="U264" s="2"/>
      <c r="V264" s="2"/>
      <c r="W264" s="2"/>
      <c r="X264" s="2"/>
      <c r="Y264" s="6"/>
      <c r="Z264" s="2"/>
      <c r="AA264" s="5"/>
      <c r="AB264" s="5"/>
    </row>
    <row r="265" spans="1:28" ht="12" customHeight="1" x14ac:dyDescent="0.3">
      <c r="A265" s="2"/>
      <c r="B265" s="2"/>
      <c r="C265" s="2"/>
      <c r="D265" s="2"/>
      <c r="E265" s="6"/>
      <c r="F265" s="2"/>
      <c r="G265" s="2"/>
      <c r="H265" s="2"/>
      <c r="I265" s="6"/>
      <c r="J265" s="2"/>
      <c r="K265" s="2"/>
      <c r="L265" s="2"/>
      <c r="M265" s="6"/>
      <c r="N265" s="2"/>
      <c r="O265" s="2"/>
      <c r="P265" s="2"/>
      <c r="Q265" s="6"/>
      <c r="R265" s="2"/>
      <c r="S265" s="2"/>
      <c r="T265" s="2"/>
      <c r="U265" s="2"/>
      <c r="V265" s="2"/>
      <c r="W265" s="2"/>
      <c r="X265" s="2"/>
      <c r="Y265" s="6"/>
      <c r="Z265" s="2"/>
      <c r="AA265" s="5"/>
      <c r="AB265" s="5"/>
    </row>
    <row r="266" spans="1:28" ht="12" customHeight="1" x14ac:dyDescent="0.3">
      <c r="A266" s="2"/>
      <c r="B266" s="2"/>
      <c r="C266" s="2"/>
      <c r="D266" s="2"/>
      <c r="E266" s="6"/>
      <c r="F266" s="2"/>
      <c r="G266" s="2"/>
      <c r="H266" s="2"/>
      <c r="I266" s="6"/>
      <c r="J266" s="2"/>
      <c r="K266" s="2"/>
      <c r="L266" s="2"/>
      <c r="M266" s="6"/>
      <c r="N266" s="2"/>
      <c r="O266" s="2"/>
      <c r="P266" s="2"/>
      <c r="Q266" s="6"/>
      <c r="R266" s="2"/>
      <c r="S266" s="2"/>
      <c r="T266" s="2"/>
      <c r="U266" s="2"/>
      <c r="V266" s="2"/>
      <c r="W266" s="2"/>
      <c r="X266" s="2"/>
      <c r="Y266" s="6"/>
      <c r="Z266" s="2"/>
      <c r="AA266" s="5"/>
      <c r="AB266" s="5"/>
    </row>
    <row r="267" spans="1:28" ht="12" customHeight="1" x14ac:dyDescent="0.3">
      <c r="A267" s="2"/>
      <c r="B267" s="2"/>
      <c r="C267" s="2"/>
      <c r="D267" s="2"/>
      <c r="E267" s="6"/>
      <c r="F267" s="2"/>
      <c r="G267" s="2"/>
      <c r="H267" s="2"/>
      <c r="I267" s="6"/>
      <c r="J267" s="2"/>
      <c r="K267" s="2"/>
      <c r="L267" s="2"/>
      <c r="M267" s="6"/>
      <c r="N267" s="2"/>
      <c r="O267" s="2"/>
      <c r="P267" s="2"/>
      <c r="Q267" s="6"/>
      <c r="R267" s="2"/>
      <c r="S267" s="2"/>
      <c r="T267" s="2"/>
      <c r="U267" s="2"/>
      <c r="V267" s="2"/>
      <c r="W267" s="2"/>
      <c r="X267" s="2"/>
      <c r="Y267" s="6"/>
      <c r="Z267" s="2"/>
      <c r="AA267" s="5"/>
      <c r="AB267" s="5"/>
    </row>
    <row r="268" spans="1:28" ht="12" customHeight="1" x14ac:dyDescent="0.3">
      <c r="A268" s="2"/>
      <c r="B268" s="2"/>
      <c r="C268" s="2"/>
      <c r="D268" s="2"/>
      <c r="E268" s="6"/>
      <c r="F268" s="2"/>
      <c r="G268" s="2"/>
      <c r="H268" s="2"/>
      <c r="I268" s="6"/>
      <c r="J268" s="2"/>
      <c r="K268" s="2"/>
      <c r="L268" s="2"/>
      <c r="M268" s="6"/>
      <c r="N268" s="2"/>
      <c r="O268" s="2"/>
      <c r="P268" s="2"/>
      <c r="Q268" s="6"/>
      <c r="R268" s="2"/>
      <c r="S268" s="2"/>
      <c r="T268" s="2"/>
      <c r="U268" s="2"/>
      <c r="V268" s="2"/>
      <c r="W268" s="2"/>
      <c r="X268" s="2"/>
      <c r="Y268" s="6"/>
      <c r="Z268" s="2"/>
      <c r="AA268" s="5"/>
      <c r="AB268" s="5"/>
    </row>
    <row r="269" spans="1:28" ht="12" customHeight="1" x14ac:dyDescent="0.3">
      <c r="A269" s="2"/>
      <c r="B269" s="2"/>
      <c r="C269" s="2"/>
      <c r="D269" s="2"/>
      <c r="E269" s="6"/>
      <c r="F269" s="2"/>
      <c r="G269" s="2"/>
      <c r="H269" s="2"/>
      <c r="I269" s="6"/>
      <c r="J269" s="2"/>
      <c r="K269" s="2"/>
      <c r="L269" s="2"/>
      <c r="M269" s="6"/>
      <c r="N269" s="2"/>
      <c r="O269" s="2"/>
      <c r="P269" s="2"/>
      <c r="Q269" s="6"/>
      <c r="R269" s="2"/>
      <c r="S269" s="2"/>
      <c r="T269" s="2"/>
      <c r="U269" s="2"/>
      <c r="V269" s="2"/>
      <c r="W269" s="2"/>
      <c r="X269" s="2"/>
      <c r="Y269" s="6"/>
      <c r="Z269" s="2"/>
      <c r="AA269" s="5"/>
      <c r="AB269" s="5"/>
    </row>
    <row r="270" spans="1:28" ht="12" customHeight="1" x14ac:dyDescent="0.3">
      <c r="A270" s="2"/>
      <c r="B270" s="2"/>
      <c r="C270" s="2"/>
      <c r="D270" s="2"/>
      <c r="E270" s="6"/>
      <c r="F270" s="2"/>
      <c r="G270" s="2"/>
      <c r="H270" s="2"/>
      <c r="I270" s="6"/>
      <c r="J270" s="2"/>
      <c r="K270" s="2"/>
      <c r="L270" s="2"/>
      <c r="M270" s="6"/>
      <c r="N270" s="2"/>
      <c r="O270" s="2"/>
      <c r="P270" s="2"/>
      <c r="Q270" s="6"/>
      <c r="R270" s="2"/>
      <c r="S270" s="2"/>
      <c r="T270" s="2"/>
      <c r="U270" s="2"/>
      <c r="V270" s="2"/>
      <c r="W270" s="2"/>
      <c r="X270" s="2"/>
      <c r="Y270" s="6"/>
      <c r="Z270" s="2"/>
      <c r="AA270" s="5"/>
      <c r="AB270" s="5"/>
    </row>
    <row r="271" spans="1:28" ht="12" customHeight="1" x14ac:dyDescent="0.3">
      <c r="A271" s="2"/>
      <c r="B271" s="2"/>
      <c r="C271" s="2"/>
      <c r="D271" s="2"/>
      <c r="E271" s="6"/>
      <c r="F271" s="2"/>
      <c r="G271" s="2"/>
      <c r="H271" s="2"/>
      <c r="I271" s="6"/>
      <c r="J271" s="2"/>
      <c r="K271" s="2"/>
      <c r="L271" s="2"/>
      <c r="M271" s="6"/>
      <c r="N271" s="2"/>
      <c r="O271" s="2"/>
      <c r="P271" s="2"/>
      <c r="Q271" s="6"/>
      <c r="R271" s="2"/>
      <c r="S271" s="2"/>
      <c r="T271" s="2"/>
      <c r="U271" s="2"/>
      <c r="V271" s="2"/>
      <c r="W271" s="2"/>
      <c r="X271" s="2"/>
      <c r="Y271" s="6"/>
      <c r="Z271" s="2"/>
      <c r="AA271" s="5"/>
      <c r="AB271" s="5"/>
    </row>
    <row r="272" spans="1:28" ht="12" customHeight="1" x14ac:dyDescent="0.3">
      <c r="A272" s="2"/>
      <c r="B272" s="2"/>
      <c r="C272" s="2"/>
      <c r="D272" s="2"/>
      <c r="E272" s="6"/>
      <c r="F272" s="2"/>
      <c r="G272" s="2"/>
      <c r="H272" s="2"/>
      <c r="I272" s="6"/>
      <c r="J272" s="2"/>
      <c r="K272" s="2"/>
      <c r="L272" s="2"/>
      <c r="M272" s="6"/>
      <c r="N272" s="2"/>
      <c r="O272" s="2"/>
      <c r="P272" s="2"/>
      <c r="Q272" s="6"/>
      <c r="R272" s="2"/>
      <c r="S272" s="2"/>
      <c r="T272" s="2"/>
      <c r="U272" s="2"/>
      <c r="V272" s="2"/>
      <c r="W272" s="2"/>
      <c r="X272" s="2"/>
      <c r="Y272" s="6"/>
      <c r="Z272" s="2"/>
      <c r="AA272" s="5"/>
      <c r="AB272" s="5"/>
    </row>
    <row r="273" spans="1:28" ht="12" customHeight="1" x14ac:dyDescent="0.3">
      <c r="A273" s="2"/>
      <c r="B273" s="2"/>
      <c r="C273" s="2"/>
      <c r="D273" s="2"/>
      <c r="E273" s="6"/>
      <c r="F273" s="2"/>
      <c r="G273" s="2"/>
      <c r="H273" s="2"/>
      <c r="I273" s="6"/>
      <c r="J273" s="2"/>
      <c r="K273" s="2"/>
      <c r="L273" s="2"/>
      <c r="M273" s="6"/>
      <c r="N273" s="2"/>
      <c r="O273" s="2"/>
      <c r="P273" s="2"/>
      <c r="Q273" s="6"/>
      <c r="R273" s="2"/>
      <c r="S273" s="2"/>
      <c r="T273" s="2"/>
      <c r="U273" s="2"/>
      <c r="V273" s="2"/>
      <c r="W273" s="2"/>
      <c r="X273" s="2"/>
      <c r="Y273" s="6"/>
      <c r="Z273" s="2"/>
      <c r="AA273" s="5"/>
      <c r="AB273" s="5"/>
    </row>
    <row r="274" spans="1:28" ht="12" customHeight="1" x14ac:dyDescent="0.3">
      <c r="A274" s="2"/>
      <c r="B274" s="2"/>
      <c r="C274" s="2"/>
      <c r="D274" s="2"/>
      <c r="E274" s="6"/>
      <c r="F274" s="2"/>
      <c r="G274" s="2"/>
      <c r="H274" s="2"/>
      <c r="I274" s="6"/>
      <c r="J274" s="2"/>
      <c r="K274" s="2"/>
      <c r="L274" s="2"/>
      <c r="M274" s="6"/>
      <c r="N274" s="2"/>
      <c r="O274" s="2"/>
      <c r="P274" s="2"/>
      <c r="Q274" s="6"/>
      <c r="R274" s="2"/>
      <c r="S274" s="2"/>
      <c r="T274" s="2"/>
      <c r="U274" s="2"/>
      <c r="V274" s="2"/>
      <c r="W274" s="2"/>
      <c r="X274" s="2"/>
      <c r="Y274" s="6"/>
      <c r="Z274" s="2"/>
      <c r="AA274" s="5"/>
      <c r="AB274" s="5"/>
    </row>
    <row r="275" spans="1:28" ht="12" customHeight="1" x14ac:dyDescent="0.3">
      <c r="A275" s="2"/>
      <c r="B275" s="2"/>
      <c r="C275" s="2"/>
      <c r="D275" s="2"/>
      <c r="E275" s="6"/>
      <c r="F275" s="2"/>
      <c r="G275" s="2"/>
      <c r="H275" s="2"/>
      <c r="I275" s="6"/>
      <c r="J275" s="2"/>
      <c r="K275" s="2"/>
      <c r="L275" s="2"/>
      <c r="M275" s="6"/>
      <c r="N275" s="2"/>
      <c r="O275" s="2"/>
      <c r="P275" s="2"/>
      <c r="Q275" s="6"/>
      <c r="R275" s="2"/>
      <c r="S275" s="2"/>
      <c r="T275" s="2"/>
      <c r="U275" s="2"/>
      <c r="V275" s="2"/>
      <c r="W275" s="2"/>
      <c r="X275" s="2"/>
      <c r="Y275" s="6"/>
      <c r="Z275" s="2"/>
      <c r="AA275" s="5"/>
      <c r="AB275" s="5"/>
    </row>
    <row r="276" spans="1:28" ht="12" customHeight="1" x14ac:dyDescent="0.3">
      <c r="A276" s="2"/>
      <c r="B276" s="2"/>
      <c r="C276" s="2"/>
      <c r="D276" s="2"/>
      <c r="E276" s="6"/>
      <c r="F276" s="2"/>
      <c r="G276" s="2"/>
      <c r="H276" s="2"/>
      <c r="I276" s="6"/>
      <c r="J276" s="2"/>
      <c r="K276" s="2"/>
      <c r="L276" s="2"/>
      <c r="M276" s="6"/>
      <c r="N276" s="2"/>
      <c r="O276" s="2"/>
      <c r="P276" s="2"/>
      <c r="Q276" s="6"/>
      <c r="R276" s="2"/>
      <c r="S276" s="2"/>
      <c r="T276" s="2"/>
      <c r="U276" s="2"/>
      <c r="V276" s="2"/>
      <c r="W276" s="2"/>
      <c r="X276" s="2"/>
      <c r="Y276" s="6"/>
      <c r="Z276" s="2"/>
      <c r="AA276" s="5"/>
      <c r="AB276" s="5"/>
    </row>
    <row r="277" spans="1:28" ht="12" customHeight="1" x14ac:dyDescent="0.3">
      <c r="A277" s="2"/>
      <c r="B277" s="2"/>
      <c r="C277" s="2"/>
      <c r="D277" s="2"/>
      <c r="E277" s="6"/>
      <c r="F277" s="2"/>
      <c r="G277" s="2"/>
      <c r="H277" s="2"/>
      <c r="I277" s="6"/>
      <c r="J277" s="2"/>
      <c r="K277" s="2"/>
      <c r="L277" s="2"/>
      <c r="M277" s="6"/>
      <c r="N277" s="2"/>
      <c r="O277" s="2"/>
      <c r="P277" s="2"/>
      <c r="Q277" s="6"/>
      <c r="R277" s="2"/>
      <c r="S277" s="2"/>
      <c r="T277" s="2"/>
      <c r="U277" s="2"/>
      <c r="V277" s="2"/>
      <c r="W277" s="2"/>
      <c r="X277" s="2"/>
      <c r="Y277" s="6"/>
      <c r="Z277" s="2"/>
      <c r="AA277" s="5"/>
      <c r="AB277" s="5"/>
    </row>
    <row r="278" spans="1:28" ht="12" customHeight="1" x14ac:dyDescent="0.3">
      <c r="A278" s="2"/>
      <c r="B278" s="2"/>
      <c r="C278" s="2"/>
      <c r="D278" s="2"/>
      <c r="E278" s="6"/>
      <c r="F278" s="2"/>
      <c r="G278" s="2"/>
      <c r="H278" s="2"/>
      <c r="I278" s="6"/>
      <c r="J278" s="2"/>
      <c r="K278" s="2"/>
      <c r="L278" s="2"/>
      <c r="M278" s="6"/>
      <c r="N278" s="2"/>
      <c r="O278" s="2"/>
      <c r="P278" s="2"/>
      <c r="Q278" s="6"/>
      <c r="R278" s="2"/>
      <c r="S278" s="2"/>
      <c r="T278" s="2"/>
      <c r="U278" s="2"/>
      <c r="V278" s="2"/>
      <c r="W278" s="2"/>
      <c r="X278" s="2"/>
      <c r="Y278" s="6"/>
      <c r="Z278" s="2"/>
      <c r="AA278" s="5"/>
      <c r="AB278" s="5"/>
    </row>
    <row r="279" spans="1:28" ht="12" customHeight="1" x14ac:dyDescent="0.3">
      <c r="A279" s="2"/>
      <c r="B279" s="2"/>
      <c r="C279" s="2"/>
      <c r="D279" s="2"/>
      <c r="E279" s="6"/>
      <c r="F279" s="2"/>
      <c r="G279" s="2"/>
      <c r="H279" s="2"/>
      <c r="I279" s="6"/>
      <c r="J279" s="2"/>
      <c r="K279" s="2"/>
      <c r="L279" s="2"/>
      <c r="M279" s="6"/>
      <c r="N279" s="2"/>
      <c r="O279" s="2"/>
      <c r="P279" s="2"/>
      <c r="Q279" s="6"/>
      <c r="R279" s="2"/>
      <c r="S279" s="2"/>
      <c r="T279" s="2"/>
      <c r="U279" s="2"/>
      <c r="V279" s="2"/>
      <c r="W279" s="2"/>
      <c r="X279" s="2"/>
      <c r="Y279" s="6"/>
      <c r="Z279" s="2"/>
      <c r="AA279" s="5"/>
      <c r="AB279" s="5"/>
    </row>
    <row r="280" spans="1:28" ht="12" customHeight="1" x14ac:dyDescent="0.3">
      <c r="A280" s="2"/>
      <c r="B280" s="2"/>
      <c r="C280" s="2"/>
      <c r="D280" s="2"/>
      <c r="E280" s="6"/>
      <c r="F280" s="2"/>
      <c r="G280" s="2"/>
      <c r="H280" s="2"/>
      <c r="I280" s="6"/>
      <c r="J280" s="2"/>
      <c r="K280" s="2"/>
      <c r="L280" s="2"/>
      <c r="M280" s="6"/>
      <c r="N280" s="2"/>
      <c r="O280" s="2"/>
      <c r="P280" s="2"/>
      <c r="Q280" s="6"/>
      <c r="R280" s="2"/>
      <c r="S280" s="2"/>
      <c r="T280" s="2"/>
      <c r="U280" s="2"/>
      <c r="V280" s="2"/>
      <c r="W280" s="2"/>
      <c r="X280" s="2"/>
      <c r="Y280" s="6"/>
      <c r="Z280" s="2"/>
      <c r="AA280" s="5"/>
      <c r="AB280" s="5"/>
    </row>
    <row r="281" spans="1:28" ht="12" customHeight="1" x14ac:dyDescent="0.3">
      <c r="A281" s="2"/>
      <c r="B281" s="2"/>
      <c r="C281" s="2"/>
      <c r="D281" s="2"/>
      <c r="E281" s="6"/>
      <c r="F281" s="2"/>
      <c r="G281" s="2"/>
      <c r="H281" s="2"/>
      <c r="I281" s="6"/>
      <c r="J281" s="2"/>
      <c r="K281" s="2"/>
      <c r="L281" s="2"/>
      <c r="M281" s="6"/>
      <c r="N281" s="2"/>
      <c r="O281" s="2"/>
      <c r="P281" s="2"/>
      <c r="Q281" s="6"/>
      <c r="R281" s="2"/>
      <c r="S281" s="2"/>
      <c r="T281" s="2"/>
      <c r="U281" s="2"/>
      <c r="V281" s="2"/>
      <c r="W281" s="2"/>
      <c r="X281" s="2"/>
      <c r="Y281" s="6"/>
      <c r="Z281" s="2"/>
      <c r="AA281" s="5"/>
      <c r="AB281" s="5"/>
    </row>
    <row r="282" spans="1:28" ht="12" customHeight="1" x14ac:dyDescent="0.3">
      <c r="A282" s="2"/>
      <c r="B282" s="2"/>
      <c r="C282" s="2"/>
      <c r="D282" s="2"/>
      <c r="E282" s="6"/>
      <c r="F282" s="2"/>
      <c r="G282" s="2"/>
      <c r="H282" s="2"/>
      <c r="I282" s="6"/>
      <c r="J282" s="2"/>
      <c r="K282" s="2"/>
      <c r="L282" s="2"/>
      <c r="M282" s="6"/>
      <c r="N282" s="2"/>
      <c r="O282" s="2"/>
      <c r="P282" s="2"/>
      <c r="Q282" s="6"/>
      <c r="R282" s="2"/>
      <c r="S282" s="2"/>
      <c r="T282" s="2"/>
      <c r="U282" s="2"/>
      <c r="V282" s="2"/>
      <c r="W282" s="2"/>
      <c r="X282" s="2"/>
      <c r="Y282" s="6"/>
      <c r="Z282" s="2"/>
      <c r="AA282" s="5"/>
      <c r="AB282" s="5"/>
    </row>
    <row r="283" spans="1:28" ht="12" customHeight="1" x14ac:dyDescent="0.3">
      <c r="A283" s="2"/>
      <c r="B283" s="2"/>
      <c r="C283" s="2"/>
      <c r="D283" s="2"/>
      <c r="E283" s="6"/>
      <c r="F283" s="2"/>
      <c r="G283" s="2"/>
      <c r="H283" s="2"/>
      <c r="I283" s="6"/>
      <c r="J283" s="2"/>
      <c r="K283" s="2"/>
      <c r="L283" s="2"/>
      <c r="M283" s="6"/>
      <c r="N283" s="2"/>
      <c r="O283" s="2"/>
      <c r="P283" s="2"/>
      <c r="Q283" s="6"/>
      <c r="R283" s="2"/>
      <c r="S283" s="2"/>
      <c r="T283" s="2"/>
      <c r="U283" s="2"/>
      <c r="V283" s="2"/>
      <c r="W283" s="2"/>
      <c r="X283" s="2"/>
      <c r="Y283" s="6"/>
      <c r="Z283" s="2"/>
      <c r="AA283" s="5"/>
      <c r="AB283" s="5"/>
    </row>
    <row r="284" spans="1:28" ht="12" customHeight="1" x14ac:dyDescent="0.3">
      <c r="A284" s="2"/>
      <c r="B284" s="2"/>
      <c r="C284" s="2"/>
      <c r="D284" s="2"/>
      <c r="E284" s="6"/>
      <c r="F284" s="2"/>
      <c r="G284" s="2"/>
      <c r="H284" s="2"/>
      <c r="I284" s="6"/>
      <c r="J284" s="2"/>
      <c r="K284" s="2"/>
      <c r="L284" s="2"/>
      <c r="M284" s="6"/>
      <c r="N284" s="2"/>
      <c r="O284" s="2"/>
      <c r="P284" s="2"/>
      <c r="Q284" s="6"/>
      <c r="R284" s="2"/>
      <c r="S284" s="2"/>
      <c r="T284" s="2"/>
      <c r="U284" s="2"/>
      <c r="V284" s="2"/>
      <c r="W284" s="2"/>
      <c r="X284" s="2"/>
      <c r="Y284" s="6"/>
      <c r="Z284" s="2"/>
      <c r="AA284" s="5"/>
      <c r="AB284" s="5"/>
    </row>
    <row r="285" spans="1:28" ht="12" customHeight="1" x14ac:dyDescent="0.3">
      <c r="A285" s="2"/>
      <c r="B285" s="2"/>
      <c r="C285" s="2"/>
      <c r="D285" s="2"/>
      <c r="E285" s="6"/>
      <c r="F285" s="2"/>
      <c r="G285" s="2"/>
      <c r="H285" s="2"/>
      <c r="I285" s="6"/>
      <c r="J285" s="2"/>
      <c r="K285" s="2"/>
      <c r="L285" s="2"/>
      <c r="M285" s="6"/>
      <c r="N285" s="2"/>
      <c r="O285" s="2"/>
      <c r="P285" s="2"/>
      <c r="Q285" s="6"/>
      <c r="R285" s="2"/>
      <c r="S285" s="2"/>
      <c r="T285" s="2"/>
      <c r="U285" s="2"/>
      <c r="V285" s="2"/>
      <c r="W285" s="2"/>
      <c r="X285" s="2"/>
      <c r="Y285" s="6"/>
      <c r="Z285" s="2"/>
      <c r="AA285" s="5"/>
      <c r="AB285" s="5"/>
    </row>
    <row r="286" spans="1:28" ht="12" customHeight="1" x14ac:dyDescent="0.3">
      <c r="A286" s="2"/>
      <c r="B286" s="2"/>
      <c r="C286" s="2"/>
      <c r="D286" s="2"/>
      <c r="E286" s="6"/>
      <c r="F286" s="2"/>
      <c r="G286" s="2"/>
      <c r="H286" s="2"/>
      <c r="I286" s="6"/>
      <c r="J286" s="2"/>
      <c r="K286" s="2"/>
      <c r="L286" s="2"/>
      <c r="M286" s="6"/>
      <c r="N286" s="2"/>
      <c r="O286" s="2"/>
      <c r="P286" s="2"/>
      <c r="Q286" s="6"/>
      <c r="R286" s="2"/>
      <c r="S286" s="2"/>
      <c r="T286" s="2"/>
      <c r="U286" s="2"/>
      <c r="V286" s="2"/>
      <c r="W286" s="2"/>
      <c r="X286" s="2"/>
      <c r="Y286" s="6"/>
      <c r="Z286" s="2"/>
      <c r="AA286" s="5"/>
      <c r="AB286" s="5"/>
    </row>
    <row r="287" spans="1:28" ht="12" customHeight="1" x14ac:dyDescent="0.3">
      <c r="A287" s="2"/>
      <c r="B287" s="2"/>
      <c r="C287" s="2"/>
      <c r="D287" s="2"/>
      <c r="E287" s="6"/>
      <c r="F287" s="2"/>
      <c r="G287" s="2"/>
      <c r="H287" s="2"/>
      <c r="I287" s="6"/>
      <c r="J287" s="2"/>
      <c r="K287" s="2"/>
      <c r="L287" s="2"/>
      <c r="M287" s="6"/>
      <c r="N287" s="2"/>
      <c r="O287" s="2"/>
      <c r="P287" s="2"/>
      <c r="Q287" s="6"/>
      <c r="R287" s="2"/>
      <c r="S287" s="2"/>
      <c r="T287" s="2"/>
      <c r="U287" s="2"/>
      <c r="V287" s="2"/>
      <c r="W287" s="2"/>
      <c r="X287" s="2"/>
      <c r="Y287" s="6"/>
      <c r="Z287" s="2"/>
      <c r="AA287" s="5"/>
      <c r="AB287" s="5"/>
    </row>
    <row r="288" spans="1:28" ht="12" customHeight="1" x14ac:dyDescent="0.3">
      <c r="A288" s="2"/>
      <c r="B288" s="2"/>
      <c r="C288" s="2"/>
      <c r="D288" s="2"/>
      <c r="E288" s="6"/>
      <c r="F288" s="2"/>
      <c r="G288" s="2"/>
      <c r="H288" s="2"/>
      <c r="I288" s="6"/>
      <c r="J288" s="2"/>
      <c r="K288" s="2"/>
      <c r="L288" s="2"/>
      <c r="M288" s="6"/>
      <c r="N288" s="2"/>
      <c r="O288" s="2"/>
      <c r="P288" s="2"/>
      <c r="Q288" s="6"/>
      <c r="R288" s="2"/>
      <c r="S288" s="2"/>
      <c r="T288" s="2"/>
      <c r="U288" s="2"/>
      <c r="V288" s="2"/>
      <c r="W288" s="2"/>
      <c r="X288" s="2"/>
      <c r="Y288" s="6"/>
      <c r="Z288" s="2"/>
      <c r="AA288" s="5"/>
      <c r="AB288" s="5"/>
    </row>
    <row r="289" spans="1:28" ht="12" customHeight="1" x14ac:dyDescent="0.3">
      <c r="A289" s="2"/>
      <c r="B289" s="2"/>
      <c r="C289" s="2"/>
      <c r="D289" s="2"/>
      <c r="E289" s="6"/>
      <c r="F289" s="2"/>
      <c r="G289" s="2"/>
      <c r="H289" s="2"/>
      <c r="I289" s="6"/>
      <c r="J289" s="2"/>
      <c r="K289" s="2"/>
      <c r="L289" s="2"/>
      <c r="M289" s="6"/>
      <c r="N289" s="2"/>
      <c r="O289" s="2"/>
      <c r="P289" s="2"/>
      <c r="Q289" s="6"/>
      <c r="R289" s="2"/>
      <c r="S289" s="2"/>
      <c r="T289" s="2"/>
      <c r="U289" s="2"/>
      <c r="V289" s="2"/>
      <c r="W289" s="2"/>
      <c r="X289" s="2"/>
      <c r="Y289" s="6"/>
      <c r="Z289" s="2"/>
      <c r="AA289" s="5"/>
      <c r="AB289" s="5"/>
    </row>
    <row r="290" spans="1:28" ht="12" customHeight="1" x14ac:dyDescent="0.3">
      <c r="A290" s="2"/>
      <c r="B290" s="2"/>
      <c r="C290" s="2"/>
      <c r="D290" s="2"/>
      <c r="E290" s="6"/>
      <c r="F290" s="2"/>
      <c r="G290" s="2"/>
      <c r="H290" s="2"/>
      <c r="I290" s="6"/>
      <c r="J290" s="2"/>
      <c r="K290" s="2"/>
      <c r="L290" s="2"/>
      <c r="M290" s="6"/>
      <c r="N290" s="2"/>
      <c r="O290" s="2"/>
      <c r="P290" s="2"/>
      <c r="Q290" s="6"/>
      <c r="R290" s="2"/>
      <c r="S290" s="2"/>
      <c r="T290" s="2"/>
      <c r="U290" s="2"/>
      <c r="V290" s="2"/>
      <c r="W290" s="2"/>
      <c r="X290" s="2"/>
      <c r="Y290" s="6"/>
      <c r="Z290" s="2"/>
      <c r="AA290" s="5"/>
      <c r="AB290" s="5"/>
    </row>
    <row r="291" spans="1:28" ht="12" customHeight="1" x14ac:dyDescent="0.3">
      <c r="A291" s="2"/>
      <c r="B291" s="2"/>
      <c r="C291" s="2"/>
      <c r="D291" s="2"/>
      <c r="E291" s="6"/>
      <c r="F291" s="2"/>
      <c r="G291" s="2"/>
      <c r="H291" s="2"/>
      <c r="I291" s="6"/>
      <c r="J291" s="2"/>
      <c r="K291" s="2"/>
      <c r="L291" s="2"/>
      <c r="M291" s="6"/>
      <c r="N291" s="2"/>
      <c r="O291" s="2"/>
      <c r="P291" s="2"/>
      <c r="Q291" s="6"/>
      <c r="R291" s="2"/>
      <c r="S291" s="2"/>
      <c r="T291" s="2"/>
      <c r="U291" s="2"/>
      <c r="V291" s="2"/>
      <c r="W291" s="2"/>
      <c r="X291" s="2"/>
      <c r="Y291" s="6"/>
      <c r="Z291" s="2"/>
      <c r="AA291" s="5"/>
      <c r="AB291" s="5"/>
    </row>
    <row r="292" spans="1:28" ht="12" customHeight="1" x14ac:dyDescent="0.3">
      <c r="A292" s="2"/>
      <c r="B292" s="2"/>
      <c r="C292" s="2"/>
      <c r="D292" s="2"/>
      <c r="E292" s="6"/>
      <c r="F292" s="2"/>
      <c r="G292" s="2"/>
      <c r="H292" s="2"/>
      <c r="I292" s="6"/>
      <c r="J292" s="2"/>
      <c r="K292" s="2"/>
      <c r="L292" s="2"/>
      <c r="M292" s="6"/>
      <c r="N292" s="2"/>
      <c r="O292" s="2"/>
      <c r="P292" s="2"/>
      <c r="Q292" s="6"/>
      <c r="R292" s="2"/>
      <c r="S292" s="2"/>
      <c r="T292" s="2"/>
      <c r="U292" s="2"/>
      <c r="V292" s="2"/>
      <c r="W292" s="2"/>
      <c r="X292" s="2"/>
      <c r="Y292" s="6"/>
      <c r="Z292" s="2"/>
      <c r="AA292" s="5"/>
      <c r="AB292" s="5"/>
    </row>
    <row r="293" spans="1:28" ht="12" customHeight="1" x14ac:dyDescent="0.3">
      <c r="A293" s="2"/>
      <c r="B293" s="2"/>
      <c r="C293" s="2"/>
      <c r="D293" s="2"/>
      <c r="E293" s="6"/>
      <c r="F293" s="2"/>
      <c r="G293" s="2"/>
      <c r="H293" s="2"/>
      <c r="I293" s="6"/>
      <c r="J293" s="2"/>
      <c r="K293" s="2"/>
      <c r="L293" s="2"/>
      <c r="M293" s="6"/>
      <c r="N293" s="2"/>
      <c r="O293" s="2"/>
      <c r="P293" s="2"/>
      <c r="Q293" s="6"/>
      <c r="R293" s="2"/>
      <c r="S293" s="2"/>
      <c r="T293" s="2"/>
      <c r="U293" s="2"/>
      <c r="V293" s="2"/>
      <c r="W293" s="2"/>
      <c r="X293" s="2"/>
      <c r="Y293" s="6"/>
      <c r="Z293" s="2"/>
      <c r="AA293" s="5"/>
      <c r="AB293" s="5"/>
    </row>
    <row r="294" spans="1:28" ht="12" customHeight="1" x14ac:dyDescent="0.3">
      <c r="A294" s="2"/>
      <c r="B294" s="2"/>
      <c r="C294" s="2"/>
      <c r="D294" s="2"/>
      <c r="E294" s="6"/>
      <c r="F294" s="2"/>
      <c r="G294" s="2"/>
      <c r="H294" s="2"/>
      <c r="I294" s="6"/>
      <c r="J294" s="2"/>
      <c r="K294" s="2"/>
      <c r="L294" s="2"/>
      <c r="M294" s="6"/>
      <c r="N294" s="2"/>
      <c r="O294" s="2"/>
      <c r="P294" s="2"/>
      <c r="Q294" s="6"/>
      <c r="R294" s="2"/>
      <c r="S294" s="2"/>
      <c r="T294" s="2"/>
      <c r="U294" s="2"/>
      <c r="V294" s="2"/>
      <c r="W294" s="2"/>
      <c r="X294" s="2"/>
      <c r="Y294" s="6"/>
      <c r="Z294" s="2"/>
      <c r="AA294" s="5"/>
      <c r="AB294" s="5"/>
    </row>
    <row r="295" spans="1:28" ht="12" customHeight="1" x14ac:dyDescent="0.3">
      <c r="A295" s="2"/>
      <c r="B295" s="2"/>
      <c r="C295" s="2"/>
      <c r="D295" s="2"/>
      <c r="E295" s="6"/>
      <c r="F295" s="2"/>
      <c r="G295" s="2"/>
      <c r="H295" s="2"/>
      <c r="I295" s="6"/>
      <c r="J295" s="2"/>
      <c r="K295" s="2"/>
      <c r="L295" s="2"/>
      <c r="M295" s="6"/>
      <c r="N295" s="2"/>
      <c r="O295" s="2"/>
      <c r="P295" s="2"/>
      <c r="Q295" s="6"/>
      <c r="R295" s="2"/>
      <c r="S295" s="2"/>
      <c r="T295" s="2"/>
      <c r="U295" s="2"/>
      <c r="V295" s="2"/>
      <c r="W295" s="2"/>
      <c r="X295" s="2"/>
      <c r="Y295" s="6"/>
      <c r="Z295" s="2"/>
      <c r="AA295" s="5"/>
      <c r="AB295" s="5"/>
    </row>
    <row r="296" spans="1:28" ht="12" customHeight="1" x14ac:dyDescent="0.3">
      <c r="A296" s="2"/>
      <c r="B296" s="2"/>
      <c r="C296" s="2"/>
      <c r="D296" s="2"/>
      <c r="E296" s="6"/>
      <c r="F296" s="2"/>
      <c r="G296" s="2"/>
      <c r="H296" s="2"/>
      <c r="I296" s="6"/>
      <c r="J296" s="2"/>
      <c r="K296" s="2"/>
      <c r="L296" s="2"/>
      <c r="M296" s="6"/>
      <c r="N296" s="2"/>
      <c r="O296" s="2"/>
      <c r="P296" s="2"/>
      <c r="Q296" s="6"/>
      <c r="R296" s="2"/>
      <c r="S296" s="2"/>
      <c r="T296" s="2"/>
      <c r="U296" s="2"/>
      <c r="V296" s="2"/>
      <c r="W296" s="2"/>
      <c r="X296" s="2"/>
      <c r="Y296" s="6"/>
      <c r="Z296" s="2"/>
      <c r="AA296" s="5"/>
      <c r="AB296" s="5"/>
    </row>
    <row r="297" spans="1:28" ht="12" customHeight="1" x14ac:dyDescent="0.3">
      <c r="A297" s="2"/>
      <c r="B297" s="2"/>
      <c r="C297" s="2"/>
      <c r="D297" s="2"/>
      <c r="E297" s="6"/>
      <c r="F297" s="2"/>
      <c r="G297" s="2"/>
      <c r="H297" s="2"/>
      <c r="I297" s="6"/>
      <c r="J297" s="2"/>
      <c r="K297" s="2"/>
      <c r="L297" s="2"/>
      <c r="M297" s="6"/>
      <c r="N297" s="2"/>
      <c r="O297" s="2"/>
      <c r="P297" s="2"/>
      <c r="Q297" s="6"/>
      <c r="R297" s="2"/>
      <c r="S297" s="2"/>
      <c r="T297" s="2"/>
      <c r="U297" s="2"/>
      <c r="V297" s="2"/>
      <c r="W297" s="2"/>
      <c r="X297" s="2"/>
      <c r="Y297" s="6"/>
      <c r="Z297" s="2"/>
      <c r="AA297" s="5"/>
      <c r="AB297" s="5"/>
    </row>
    <row r="298" spans="1:28" ht="12" customHeight="1" x14ac:dyDescent="0.3">
      <c r="A298" s="2"/>
      <c r="B298" s="2"/>
      <c r="C298" s="2"/>
      <c r="D298" s="2"/>
      <c r="E298" s="6"/>
      <c r="F298" s="2"/>
      <c r="G298" s="2"/>
      <c r="H298" s="2"/>
      <c r="I298" s="6"/>
      <c r="J298" s="2"/>
      <c r="K298" s="2"/>
      <c r="L298" s="2"/>
      <c r="M298" s="6"/>
      <c r="N298" s="2"/>
      <c r="O298" s="2"/>
      <c r="P298" s="2"/>
      <c r="Q298" s="6"/>
      <c r="R298" s="2"/>
      <c r="S298" s="2"/>
      <c r="T298" s="2"/>
      <c r="U298" s="2"/>
      <c r="V298" s="2"/>
      <c r="W298" s="2"/>
      <c r="X298" s="2"/>
      <c r="Y298" s="6"/>
      <c r="Z298" s="2"/>
      <c r="AA298" s="5"/>
      <c r="AB298" s="5"/>
    </row>
    <row r="299" spans="1:28" ht="12" customHeight="1" x14ac:dyDescent="0.3">
      <c r="A299" s="2"/>
      <c r="B299" s="2"/>
      <c r="C299" s="2"/>
      <c r="D299" s="2"/>
      <c r="E299" s="6"/>
      <c r="F299" s="2"/>
      <c r="G299" s="2"/>
      <c r="H299" s="2"/>
      <c r="I299" s="6"/>
      <c r="J299" s="2"/>
      <c r="K299" s="2"/>
      <c r="L299" s="2"/>
      <c r="M299" s="6"/>
      <c r="N299" s="2"/>
      <c r="O299" s="2"/>
      <c r="P299" s="2"/>
      <c r="Q299" s="6"/>
      <c r="R299" s="2"/>
      <c r="S299" s="2"/>
      <c r="T299" s="2"/>
      <c r="U299" s="2"/>
      <c r="V299" s="2"/>
      <c r="W299" s="2"/>
      <c r="X299" s="2"/>
      <c r="Y299" s="6"/>
      <c r="Z299" s="2"/>
      <c r="AA299" s="5"/>
      <c r="AB299" s="5"/>
    </row>
    <row r="300" spans="1:28" ht="12" customHeight="1" x14ac:dyDescent="0.3">
      <c r="A300" s="2"/>
      <c r="B300" s="2"/>
      <c r="C300" s="2"/>
      <c r="D300" s="2"/>
      <c r="E300" s="6"/>
      <c r="F300" s="2"/>
      <c r="G300" s="2"/>
      <c r="H300" s="2"/>
      <c r="I300" s="6"/>
      <c r="J300" s="2"/>
      <c r="K300" s="2"/>
      <c r="L300" s="2"/>
      <c r="M300" s="6"/>
      <c r="N300" s="2"/>
      <c r="O300" s="2"/>
      <c r="P300" s="2"/>
      <c r="Q300" s="6"/>
      <c r="R300" s="2"/>
      <c r="S300" s="2"/>
      <c r="T300" s="2"/>
      <c r="U300" s="2"/>
      <c r="V300" s="2"/>
      <c r="W300" s="2"/>
      <c r="X300" s="2"/>
      <c r="Y300" s="6"/>
      <c r="Z300" s="2"/>
      <c r="AA300" s="5"/>
      <c r="AB300" s="5"/>
    </row>
    <row r="301" spans="1:28" ht="12" customHeight="1" x14ac:dyDescent="0.3">
      <c r="A301" s="2"/>
      <c r="B301" s="2"/>
      <c r="C301" s="2"/>
      <c r="D301" s="2"/>
      <c r="E301" s="6"/>
      <c r="F301" s="2"/>
      <c r="G301" s="2"/>
      <c r="H301" s="2"/>
      <c r="I301" s="6"/>
      <c r="J301" s="2"/>
      <c r="K301" s="2"/>
      <c r="L301" s="2"/>
      <c r="M301" s="6"/>
      <c r="N301" s="2"/>
      <c r="O301" s="2"/>
      <c r="P301" s="2"/>
      <c r="Q301" s="6"/>
      <c r="R301" s="2"/>
      <c r="S301" s="2"/>
      <c r="T301" s="2"/>
      <c r="U301" s="2"/>
      <c r="V301" s="2"/>
      <c r="W301" s="2"/>
      <c r="X301" s="2"/>
      <c r="Y301" s="6"/>
      <c r="Z301" s="2"/>
      <c r="AA301" s="5"/>
      <c r="AB301" s="5"/>
    </row>
    <row r="302" spans="1:28" ht="12" customHeight="1" x14ac:dyDescent="0.3">
      <c r="A302" s="2"/>
      <c r="B302" s="2"/>
      <c r="C302" s="2"/>
      <c r="D302" s="2"/>
      <c r="E302" s="6"/>
      <c r="F302" s="2"/>
      <c r="G302" s="2"/>
      <c r="H302" s="2"/>
      <c r="I302" s="6"/>
      <c r="J302" s="2"/>
      <c r="K302" s="2"/>
      <c r="L302" s="2"/>
      <c r="M302" s="6"/>
      <c r="N302" s="2"/>
      <c r="O302" s="2"/>
      <c r="P302" s="2"/>
      <c r="Q302" s="6"/>
      <c r="R302" s="2"/>
      <c r="S302" s="2"/>
      <c r="T302" s="2"/>
      <c r="U302" s="2"/>
      <c r="V302" s="2"/>
      <c r="W302" s="2"/>
      <c r="X302" s="2"/>
      <c r="Y302" s="6"/>
      <c r="Z302" s="2"/>
      <c r="AA302" s="5"/>
      <c r="AB302" s="5"/>
    </row>
    <row r="303" spans="1:28" ht="12" customHeight="1" x14ac:dyDescent="0.3">
      <c r="A303" s="2"/>
      <c r="B303" s="2"/>
      <c r="C303" s="2"/>
      <c r="D303" s="2"/>
      <c r="E303" s="6"/>
      <c r="F303" s="2"/>
      <c r="G303" s="2"/>
      <c r="H303" s="2"/>
      <c r="I303" s="6"/>
      <c r="J303" s="2"/>
      <c r="K303" s="2"/>
      <c r="L303" s="2"/>
      <c r="M303" s="6"/>
      <c r="N303" s="2"/>
      <c r="O303" s="2"/>
      <c r="P303" s="2"/>
      <c r="Q303" s="6"/>
      <c r="R303" s="2"/>
      <c r="S303" s="2"/>
      <c r="T303" s="2"/>
      <c r="U303" s="2"/>
      <c r="V303" s="2"/>
      <c r="W303" s="2"/>
      <c r="X303" s="2"/>
      <c r="Y303" s="6"/>
      <c r="Z303" s="2"/>
      <c r="AA303" s="5"/>
      <c r="AB303" s="5"/>
    </row>
    <row r="304" spans="1:28" ht="12" customHeight="1" x14ac:dyDescent="0.3">
      <c r="A304" s="2"/>
      <c r="B304" s="2"/>
      <c r="C304" s="2"/>
      <c r="D304" s="2"/>
      <c r="E304" s="6"/>
      <c r="F304" s="2"/>
      <c r="G304" s="2"/>
      <c r="H304" s="2"/>
      <c r="I304" s="6"/>
      <c r="J304" s="2"/>
      <c r="K304" s="2"/>
      <c r="L304" s="2"/>
      <c r="M304" s="6"/>
      <c r="N304" s="2"/>
      <c r="O304" s="2"/>
      <c r="P304" s="2"/>
      <c r="Q304" s="6"/>
      <c r="R304" s="2"/>
      <c r="S304" s="2"/>
      <c r="T304" s="2"/>
      <c r="U304" s="2"/>
      <c r="V304" s="2"/>
      <c r="W304" s="2"/>
      <c r="X304" s="2"/>
      <c r="Y304" s="6"/>
      <c r="Z304" s="2"/>
      <c r="AA304" s="5"/>
      <c r="AB304" s="5"/>
    </row>
    <row r="305" spans="1:28" ht="12" customHeight="1" x14ac:dyDescent="0.3">
      <c r="A305" s="2"/>
      <c r="B305" s="2"/>
      <c r="C305" s="2"/>
      <c r="D305" s="2"/>
      <c r="E305" s="6"/>
      <c r="F305" s="2"/>
      <c r="G305" s="2"/>
      <c r="H305" s="2"/>
      <c r="I305" s="6"/>
      <c r="J305" s="2"/>
      <c r="K305" s="2"/>
      <c r="L305" s="2"/>
      <c r="M305" s="6"/>
      <c r="N305" s="2"/>
      <c r="O305" s="2"/>
      <c r="P305" s="2"/>
      <c r="Q305" s="6"/>
      <c r="R305" s="2"/>
      <c r="S305" s="2"/>
      <c r="T305" s="2"/>
      <c r="U305" s="2"/>
      <c r="V305" s="2"/>
      <c r="W305" s="2"/>
      <c r="X305" s="2"/>
      <c r="Y305" s="6"/>
      <c r="Z305" s="2"/>
      <c r="AA305" s="5"/>
      <c r="AB305" s="5"/>
    </row>
    <row r="306" spans="1:28" ht="12" customHeight="1" x14ac:dyDescent="0.3">
      <c r="A306" s="2"/>
      <c r="B306" s="2"/>
      <c r="C306" s="2"/>
      <c r="D306" s="2"/>
      <c r="E306" s="6"/>
      <c r="F306" s="2"/>
      <c r="G306" s="2"/>
      <c r="H306" s="2"/>
      <c r="I306" s="6"/>
      <c r="J306" s="2"/>
      <c r="K306" s="2"/>
      <c r="L306" s="2"/>
      <c r="M306" s="6"/>
      <c r="N306" s="2"/>
      <c r="O306" s="2"/>
      <c r="P306" s="2"/>
      <c r="Q306" s="6"/>
      <c r="R306" s="2"/>
      <c r="S306" s="2"/>
      <c r="T306" s="2"/>
      <c r="U306" s="2"/>
      <c r="V306" s="2"/>
      <c r="W306" s="2"/>
      <c r="X306" s="2"/>
      <c r="Y306" s="6"/>
      <c r="Z306" s="2"/>
      <c r="AA306" s="5"/>
      <c r="AB306" s="5"/>
    </row>
    <row r="307" spans="1:28" ht="12" customHeight="1" x14ac:dyDescent="0.3">
      <c r="A307" s="2"/>
      <c r="B307" s="2"/>
      <c r="C307" s="2"/>
      <c r="D307" s="2"/>
      <c r="E307" s="6"/>
      <c r="F307" s="2"/>
      <c r="G307" s="2"/>
      <c r="H307" s="2"/>
      <c r="I307" s="6"/>
      <c r="J307" s="2"/>
      <c r="K307" s="2"/>
      <c r="L307" s="2"/>
      <c r="M307" s="6"/>
      <c r="N307" s="2"/>
      <c r="O307" s="2"/>
      <c r="P307" s="2"/>
      <c r="Q307" s="6"/>
      <c r="R307" s="2"/>
      <c r="S307" s="2"/>
      <c r="T307" s="2"/>
      <c r="U307" s="2"/>
      <c r="V307" s="2"/>
      <c r="W307" s="2"/>
      <c r="X307" s="2"/>
      <c r="Y307" s="6"/>
      <c r="Z307" s="2"/>
      <c r="AA307" s="5"/>
      <c r="AB307" s="5"/>
    </row>
    <row r="308" spans="1:28" ht="12" customHeight="1" x14ac:dyDescent="0.3">
      <c r="A308" s="2"/>
      <c r="B308" s="2"/>
      <c r="C308" s="2"/>
      <c r="D308" s="2"/>
      <c r="E308" s="6"/>
      <c r="F308" s="2"/>
      <c r="G308" s="2"/>
      <c r="H308" s="2"/>
      <c r="I308" s="6"/>
      <c r="J308" s="2"/>
      <c r="K308" s="2"/>
      <c r="L308" s="2"/>
      <c r="M308" s="6"/>
      <c r="N308" s="2"/>
      <c r="O308" s="2"/>
      <c r="P308" s="2"/>
      <c r="Q308" s="6"/>
      <c r="R308" s="2"/>
      <c r="S308" s="2"/>
      <c r="T308" s="2"/>
      <c r="U308" s="2"/>
      <c r="V308" s="2"/>
      <c r="W308" s="2"/>
      <c r="X308" s="2"/>
      <c r="Y308" s="6"/>
      <c r="Z308" s="2"/>
      <c r="AA308" s="5"/>
      <c r="AB308" s="5"/>
    </row>
    <row r="309" spans="1:28" ht="12" customHeight="1" x14ac:dyDescent="0.3">
      <c r="A309" s="2"/>
      <c r="B309" s="2"/>
      <c r="C309" s="2"/>
      <c r="D309" s="2"/>
      <c r="E309" s="6"/>
      <c r="F309" s="2"/>
      <c r="G309" s="2"/>
      <c r="H309" s="2"/>
      <c r="I309" s="6"/>
      <c r="J309" s="2"/>
      <c r="K309" s="2"/>
      <c r="L309" s="2"/>
      <c r="M309" s="6"/>
      <c r="N309" s="2"/>
      <c r="O309" s="2"/>
      <c r="P309" s="2"/>
      <c r="Q309" s="6"/>
      <c r="R309" s="2"/>
      <c r="S309" s="2"/>
      <c r="T309" s="2"/>
      <c r="U309" s="2"/>
      <c r="V309" s="2"/>
      <c r="W309" s="2"/>
      <c r="X309" s="2"/>
      <c r="Y309" s="6"/>
      <c r="Z309" s="2"/>
      <c r="AA309" s="5"/>
      <c r="AB309" s="5"/>
    </row>
    <row r="310" spans="1:28" ht="12" customHeight="1" x14ac:dyDescent="0.3">
      <c r="A310" s="2"/>
      <c r="B310" s="2"/>
      <c r="C310" s="2"/>
      <c r="D310" s="2"/>
      <c r="E310" s="6"/>
      <c r="F310" s="2"/>
      <c r="G310" s="2"/>
      <c r="H310" s="2"/>
      <c r="I310" s="6"/>
      <c r="J310" s="2"/>
      <c r="K310" s="2"/>
      <c r="L310" s="2"/>
      <c r="M310" s="6"/>
      <c r="N310" s="2"/>
      <c r="O310" s="2"/>
      <c r="P310" s="2"/>
      <c r="Q310" s="6"/>
      <c r="R310" s="2"/>
      <c r="S310" s="2"/>
      <c r="T310" s="2"/>
      <c r="U310" s="2"/>
      <c r="V310" s="2"/>
      <c r="W310" s="2"/>
      <c r="X310" s="2"/>
      <c r="Y310" s="6"/>
      <c r="Z310" s="2"/>
      <c r="AA310" s="5"/>
      <c r="AB310" s="5"/>
    </row>
    <row r="311" spans="1:28" ht="12" customHeight="1" x14ac:dyDescent="0.3">
      <c r="A311" s="2"/>
      <c r="B311" s="2"/>
      <c r="C311" s="2"/>
      <c r="D311" s="2"/>
      <c r="E311" s="6"/>
      <c r="F311" s="2"/>
      <c r="G311" s="2"/>
      <c r="H311" s="2"/>
      <c r="I311" s="6"/>
      <c r="J311" s="2"/>
      <c r="K311" s="2"/>
      <c r="L311" s="2"/>
      <c r="M311" s="6"/>
      <c r="N311" s="2"/>
      <c r="O311" s="2"/>
      <c r="P311" s="2"/>
      <c r="Q311" s="6"/>
      <c r="R311" s="2"/>
      <c r="S311" s="2"/>
      <c r="T311" s="2"/>
      <c r="U311" s="2"/>
      <c r="V311" s="2"/>
      <c r="W311" s="2"/>
      <c r="X311" s="2"/>
      <c r="Y311" s="6"/>
      <c r="Z311" s="2"/>
      <c r="AA311" s="5"/>
      <c r="AB311" s="5"/>
    </row>
    <row r="312" spans="1:28" ht="12" customHeight="1" x14ac:dyDescent="0.3">
      <c r="A312" s="2"/>
      <c r="B312" s="2"/>
      <c r="C312" s="2"/>
      <c r="D312" s="2"/>
      <c r="E312" s="6"/>
      <c r="F312" s="2"/>
      <c r="G312" s="2"/>
      <c r="H312" s="2"/>
      <c r="I312" s="6"/>
      <c r="J312" s="2"/>
      <c r="K312" s="2"/>
      <c r="L312" s="2"/>
      <c r="M312" s="6"/>
      <c r="N312" s="2"/>
      <c r="O312" s="2"/>
      <c r="P312" s="2"/>
      <c r="Q312" s="6"/>
      <c r="R312" s="2"/>
      <c r="S312" s="2"/>
      <c r="T312" s="2"/>
      <c r="U312" s="2"/>
      <c r="V312" s="2"/>
      <c r="W312" s="2"/>
      <c r="X312" s="2"/>
      <c r="Y312" s="6"/>
      <c r="Z312" s="2"/>
      <c r="AA312" s="5"/>
      <c r="AB312" s="5"/>
    </row>
    <row r="313" spans="1:28" ht="12" customHeight="1" x14ac:dyDescent="0.3">
      <c r="A313" s="2"/>
      <c r="B313" s="2"/>
      <c r="C313" s="2"/>
      <c r="D313" s="2"/>
      <c r="E313" s="6"/>
      <c r="F313" s="2"/>
      <c r="G313" s="2"/>
      <c r="H313" s="2"/>
      <c r="I313" s="6"/>
      <c r="J313" s="2"/>
      <c r="K313" s="2"/>
      <c r="L313" s="2"/>
      <c r="M313" s="6"/>
      <c r="N313" s="2"/>
      <c r="O313" s="2"/>
      <c r="P313" s="2"/>
      <c r="Q313" s="6"/>
      <c r="R313" s="2"/>
      <c r="S313" s="2"/>
      <c r="T313" s="2"/>
      <c r="U313" s="2"/>
      <c r="V313" s="2"/>
      <c r="W313" s="2"/>
      <c r="X313" s="2"/>
      <c r="Y313" s="6"/>
      <c r="Z313" s="2"/>
      <c r="AA313" s="5"/>
      <c r="AB313" s="5"/>
    </row>
    <row r="314" spans="1:28" ht="12" customHeight="1" x14ac:dyDescent="0.3">
      <c r="A314" s="2"/>
      <c r="B314" s="2"/>
      <c r="C314" s="2"/>
      <c r="D314" s="2"/>
      <c r="E314" s="6"/>
      <c r="F314" s="2"/>
      <c r="G314" s="2"/>
      <c r="H314" s="2"/>
      <c r="I314" s="6"/>
      <c r="J314" s="2"/>
      <c r="K314" s="2"/>
      <c r="L314" s="2"/>
      <c r="M314" s="6"/>
      <c r="N314" s="2"/>
      <c r="O314" s="2"/>
      <c r="P314" s="2"/>
      <c r="Q314" s="6"/>
      <c r="R314" s="2"/>
      <c r="S314" s="2"/>
      <c r="T314" s="2"/>
      <c r="U314" s="2"/>
      <c r="V314" s="2"/>
      <c r="W314" s="2"/>
      <c r="X314" s="2"/>
      <c r="Y314" s="6"/>
      <c r="Z314" s="2"/>
      <c r="AA314" s="5"/>
      <c r="AB314" s="5"/>
    </row>
    <row r="315" spans="1:28" ht="12" customHeight="1" x14ac:dyDescent="0.3">
      <c r="A315" s="2"/>
      <c r="B315" s="2"/>
      <c r="C315" s="2"/>
      <c r="D315" s="2"/>
      <c r="E315" s="6"/>
      <c r="F315" s="2"/>
      <c r="G315" s="2"/>
      <c r="H315" s="2"/>
      <c r="I315" s="6"/>
      <c r="J315" s="2"/>
      <c r="K315" s="2"/>
      <c r="L315" s="2"/>
      <c r="M315" s="6"/>
      <c r="N315" s="2"/>
      <c r="O315" s="2"/>
      <c r="P315" s="2"/>
      <c r="Q315" s="6"/>
      <c r="R315" s="2"/>
      <c r="S315" s="2"/>
      <c r="T315" s="2"/>
      <c r="U315" s="2"/>
      <c r="V315" s="2"/>
      <c r="W315" s="2"/>
      <c r="X315" s="2"/>
      <c r="Y315" s="6"/>
      <c r="Z315" s="2"/>
      <c r="AA315" s="5"/>
      <c r="AB315" s="5"/>
    </row>
    <row r="316" spans="1:28" ht="12" customHeight="1" x14ac:dyDescent="0.3">
      <c r="A316" s="2"/>
      <c r="B316" s="2"/>
      <c r="C316" s="2"/>
      <c r="D316" s="2"/>
      <c r="E316" s="6"/>
      <c r="F316" s="2"/>
      <c r="G316" s="2"/>
      <c r="H316" s="2"/>
      <c r="I316" s="6"/>
      <c r="J316" s="2"/>
      <c r="K316" s="2"/>
      <c r="L316" s="2"/>
      <c r="M316" s="6"/>
      <c r="N316" s="2"/>
      <c r="O316" s="2"/>
      <c r="P316" s="2"/>
      <c r="Q316" s="6"/>
      <c r="R316" s="2"/>
      <c r="S316" s="2"/>
      <c r="T316" s="2"/>
      <c r="U316" s="2"/>
      <c r="V316" s="2"/>
      <c r="W316" s="2"/>
      <c r="X316" s="2"/>
      <c r="Y316" s="6"/>
      <c r="Z316" s="2"/>
      <c r="AA316" s="5"/>
      <c r="AB316" s="5"/>
    </row>
    <row r="317" spans="1:28" ht="12" customHeight="1" x14ac:dyDescent="0.3">
      <c r="A317" s="2"/>
      <c r="B317" s="2"/>
      <c r="C317" s="2"/>
      <c r="D317" s="2"/>
      <c r="E317" s="6"/>
      <c r="F317" s="2"/>
      <c r="G317" s="2"/>
      <c r="H317" s="2"/>
      <c r="I317" s="6"/>
      <c r="J317" s="2"/>
      <c r="K317" s="2"/>
      <c r="L317" s="2"/>
      <c r="M317" s="6"/>
      <c r="N317" s="2"/>
      <c r="O317" s="2"/>
      <c r="P317" s="2"/>
      <c r="Q317" s="6"/>
      <c r="R317" s="2"/>
      <c r="S317" s="2"/>
      <c r="T317" s="2"/>
      <c r="U317" s="2"/>
      <c r="V317" s="2"/>
      <c r="W317" s="2"/>
      <c r="X317" s="2"/>
      <c r="Y317" s="6"/>
      <c r="Z317" s="2"/>
      <c r="AA317" s="5"/>
      <c r="AB317" s="5"/>
    </row>
    <row r="318" spans="1:28" ht="15.7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spans="1:28" ht="15.7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spans="1:28" ht="15.7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spans="1:28" ht="15.7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spans="1:28" ht="15.7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spans="1:28" ht="15.7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spans="1:28" ht="15.7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spans="1:28" ht="15.7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spans="1:28" ht="15.7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spans="1:28" ht="15.7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spans="1:28" ht="15.7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spans="1:28" ht="15.7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spans="1:28" ht="15.7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spans="1:28" ht="15.7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spans="1:28" ht="15.7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spans="1:28" ht="15.7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spans="1:28" ht="15.7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spans="1:28" ht="15.7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spans="1:28" ht="15.7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spans="1:28" ht="15.7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spans="1:28" ht="15.7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spans="1:28" ht="15.7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spans="1:28" ht="15.7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spans="1:28" ht="15.7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spans="1:28" ht="15.7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spans="1:28" ht="15.7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spans="1:28" ht="15.7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spans="1:28" ht="15.7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spans="1:28" ht="15.7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spans="1:28" ht="15.7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spans="1:28" ht="15.7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spans="1:28" ht="15.7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spans="1:28" ht="15.7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spans="1:28" ht="15.7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spans="1:28" ht="15.7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spans="1:28" ht="15.7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spans="1:28" ht="15.7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spans="1:28" ht="15.7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spans="1:28" ht="15.7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spans="1:28" ht="15.7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spans="1:28" ht="15.7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spans="1:28" ht="15.7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spans="1:28" ht="15.7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spans="1:28" ht="15.7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spans="1:28" ht="15.7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spans="1:28" ht="15.7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spans="1:28" ht="15.7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spans="1:28" ht="15.7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spans="1:28" ht="15.7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spans="1:28" ht="15.7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spans="1:28" ht="15.7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spans="1:28" ht="15.7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spans="1:28" ht="15.7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spans="1:28" ht="15.7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spans="1:28" ht="15.7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spans="1:28" ht="15.7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spans="1:28" ht="15.7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spans="1:28" ht="15.7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spans="1:28" ht="15.7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spans="1:28" ht="15.7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spans="1:28" ht="15.7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spans="1:28" ht="15.7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spans="1:28" ht="15.7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spans="1:28" ht="15.7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spans="1:28" ht="15.7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spans="1:28" ht="15.7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spans="1:28" ht="15.7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spans="1:28" ht="15.7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spans="1:28" ht="15.7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spans="1:28" ht="15.7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spans="1:28" ht="15.7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spans="1:28" ht="15.7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spans="1:28" ht="15.7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spans="1:28" ht="15.7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spans="1:28" ht="15.7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spans="1:28" ht="15.7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spans="1:28" ht="15.7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spans="1:28" ht="15.7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spans="1:28" ht="15.7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spans="1:28" ht="15.7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spans="1:28" ht="15.7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spans="1:28" ht="15.7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spans="1:28" ht="15.7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spans="1:28" ht="15.7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spans="1:28" ht="15.7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spans="1:28" ht="15.7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spans="1:28" ht="15.7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spans="1:28" ht="15.7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spans="1:28" ht="15.7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spans="1:28" ht="15.7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spans="1:28" ht="15.7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spans="1:28" ht="15.7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spans="1:28" ht="15.7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spans="1:28" ht="15.7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spans="1:28" ht="15.7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spans="1:28" ht="15.7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spans="1:28" ht="15.7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spans="1:28" ht="15.7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spans="1:28" ht="15.7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spans="1:28" ht="15.7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spans="1:28" ht="15.7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spans="1:28" ht="15.7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spans="1:28" ht="15.7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spans="1:28" ht="15.7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spans="1:28" ht="15.7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spans="1:28" ht="15.7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spans="1:28" ht="15.7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spans="1:28" ht="15.7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spans="1:28" ht="15.7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spans="1:28" ht="15.7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spans="1:28" ht="15.7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spans="1:28" ht="15.7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spans="1:28" ht="15.7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spans="1:28" ht="15.7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spans="1:28" ht="15.7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spans="1:28" ht="15.7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spans="1:28" ht="15.7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spans="1:28" ht="15.7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spans="1:28" ht="15.7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spans="1:28" ht="15.7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spans="1:28" ht="15.7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spans="1:28" ht="15.7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spans="1:28" ht="15.7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spans="1:28" ht="15.7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spans="1:28" ht="15.7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spans="1:28" ht="15.7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spans="1:28" ht="15.7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spans="1:28" ht="15.7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spans="1:28" ht="15.7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spans="1:28" ht="15.7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spans="1:28" ht="15.7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spans="1:28" ht="15.7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spans="1:28" ht="15.7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spans="1:28" ht="15.7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spans="1:28" ht="15.7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spans="1:28" ht="15.7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spans="1:28" ht="15.7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spans="1:28" ht="15.7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spans="1:28" ht="15.7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spans="1:28" ht="15.7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spans="1:28" ht="15.7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spans="1:28" ht="15.7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spans="1:28" ht="15.7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spans="1:28" ht="15.7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spans="1:28" ht="15.7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spans="1:28" ht="15.7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spans="1:28" ht="15.7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spans="1:28" ht="15.7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spans="1:28" ht="15.7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spans="1:28" ht="15.7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spans="1:28" ht="15.7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spans="1:28" ht="15.7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spans="1:28" ht="15.7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spans="1:28" ht="15.7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spans="1:28" ht="15.7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spans="1:28" ht="15.7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spans="1:28" ht="15.7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spans="1:28" ht="15.7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spans="1:28" ht="15.7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spans="1:28" ht="15.7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spans="1:28" ht="15.7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spans="1:28" ht="15.7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spans="1:28" ht="15.7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spans="1:28" ht="15.7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spans="1:28" ht="15.7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spans="1:28" ht="15.7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spans="1:28" ht="15.7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spans="1:28" ht="15.7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spans="1:28" ht="15.7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spans="1:28" ht="15.7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spans="1:28" ht="15.7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spans="1:28" ht="15.7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spans="1:28" ht="15.7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spans="1:28" ht="15.7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spans="1:28" ht="15.7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spans="1:28" ht="15.7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spans="1:28" ht="15.7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spans="1:28" ht="15.7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spans="1:28" ht="15.7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spans="1:28" ht="15.7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spans="1:28" ht="15.7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spans="1:28" ht="15.7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spans="1:28" ht="15.7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spans="1:28" ht="15.7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spans="1:28" ht="15.7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spans="1:28" ht="15.7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spans="1:28" ht="15.7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spans="1:28" ht="15.7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spans="1:28" ht="15.7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spans="1:28" ht="15.7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spans="1:28" ht="15.7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spans="1:28" ht="15.7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spans="1:28" ht="15.7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spans="1:28" ht="15.7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spans="1:28" ht="15.7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spans="1:28" ht="15.7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spans="1:28" ht="15.7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spans="1:28" ht="15.7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spans="1:28" ht="15.7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spans="1:28" ht="15.7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spans="1:28" ht="15.7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spans="1:28" ht="15.7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spans="1:28" ht="15.7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spans="1:28" ht="15.7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spans="1:28" ht="15.7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spans="1:28" ht="15.7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spans="1:28" ht="15.7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spans="1:28" ht="15.7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spans="1:28" ht="15.7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spans="1:28" ht="15.7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spans="1:28" ht="15.7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spans="1:28" ht="15.7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spans="1:28" ht="15.7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spans="1:28" ht="15.7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spans="1:28" ht="15.7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spans="1:28" ht="15.7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spans="1:28" ht="15.7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spans="1:28" ht="15.7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spans="1:28" ht="15.7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spans="1:28" ht="15.7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spans="1:28" ht="15.7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spans="1:28" ht="15.7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spans="1:28" ht="15.7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spans="1:28" ht="15.7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spans="1:28" ht="15.7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spans="1:28" ht="15.7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spans="1:28" ht="15.7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spans="1:28" ht="15.7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spans="1:28" ht="15.7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spans="1:28" ht="15.7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spans="1:28" ht="15.7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spans="1:28" ht="15.7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spans="1:28" ht="15.7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spans="1:28" ht="15.7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spans="1:28" ht="15.7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spans="1:28" ht="15.7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spans="1:28" ht="15.7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spans="1:28" ht="15.7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spans="1:28" ht="15.7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spans="1:28" ht="15.7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spans="1:28" ht="15.7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spans="1:28" ht="15.7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spans="1:28" ht="15.7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spans="1:28" ht="15.7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spans="1:28" ht="15.7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spans="1:28" ht="15.7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spans="1:28" ht="15.7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spans="1:28" ht="15.7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spans="1:28" ht="15.7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spans="1:28" ht="15.7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spans="1:28" ht="15.7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spans="1:28" ht="15.7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spans="1:28" ht="15.7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spans="1:28" ht="15.7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spans="1:28" ht="15.7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spans="1:28" ht="15.7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spans="1:28" ht="15.7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spans="1:28" ht="15.7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spans="1:28" ht="15.7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spans="1:28" ht="15.7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spans="1:28" ht="15.7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spans="1:28" ht="15.7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spans="1:28" ht="15.7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spans="1:28" ht="15.7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spans="1:28" ht="15.7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spans="1:28" ht="15.7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spans="1:28" ht="15.7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spans="1:28" ht="15.7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spans="1:28" ht="15.7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spans="1:28" ht="15.7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spans="1:28" ht="15.7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spans="1:28" ht="15.7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spans="1:28" ht="15.7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spans="1:28" ht="15.7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spans="1:28" ht="15.7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spans="1:28" ht="15.7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spans="1:28" ht="15.7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spans="1:28" ht="15.7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spans="1:28" ht="15.7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spans="1:28" ht="15.7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spans="1:28" ht="15.7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spans="1:28" ht="15.7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spans="1:28" ht="15.7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spans="1:28" ht="15.7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spans="1:28" ht="15.7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spans="1:28" ht="15.7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spans="1:28" ht="15.7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spans="1:28" ht="15.7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spans="1:28" ht="15.7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spans="1:28" ht="15.7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spans="1:28" ht="15.7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spans="1:28" ht="15.7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spans="1:28" ht="15.7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spans="1:28" ht="15.7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spans="1:28" ht="15.7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spans="1:28" ht="15.7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spans="1:28" ht="15.7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spans="1:28" ht="15.7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spans="1:28" ht="15.7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spans="1:28" ht="15.7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spans="1:28" ht="15.7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spans="1:28" ht="15.7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spans="1:28" ht="15.7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spans="1:28" ht="15.7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spans="1:28" ht="15.7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spans="1:28" ht="15.7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spans="1:28" ht="15.7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spans="1:28" ht="15.7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spans="1:28" ht="15.7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spans="1:28" ht="15.7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spans="1:28" ht="15.7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spans="1:28" ht="15.7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spans="1:28" ht="15.7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spans="1:28" ht="15.7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spans="1:28" ht="15.7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spans="1:28" ht="15.7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spans="1:28" ht="15.7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spans="1:28" ht="15.7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spans="1:28" ht="15.7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spans="1:28" ht="15.7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spans="1:28" ht="15.7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spans="1:28" ht="15.7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spans="1:28" ht="15.7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spans="1:28" ht="15.7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spans="1:28" ht="15.7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spans="1:28" ht="15.7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spans="1:28" ht="15.7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spans="1:28" ht="15.7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spans="1:28" ht="15.7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spans="1:28" ht="15.7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spans="1:28" ht="15.7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spans="1:28" ht="15.7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spans="1:28" ht="15.7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spans="1:28" ht="15.7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spans="1:28" ht="15.7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spans="1:28" ht="15.7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spans="1:28" ht="15.7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spans="1:28" ht="15.7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spans="1:28" ht="15.7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spans="1:28" ht="15.7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spans="1:28" ht="15.7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spans="1:28" ht="15.7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spans="1:28" ht="15.7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spans="1:28" ht="15.7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spans="1:28" ht="15.7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spans="1:28" ht="15.7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spans="1:28" ht="15.7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spans="1:28" ht="15.7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spans="1:28" ht="15.7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spans="1:28" ht="15.7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spans="1:28" ht="15.7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spans="1:28" ht="15.7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spans="1:28" ht="15.7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spans="1:28" ht="15.7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spans="1:28" ht="15.7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spans="1:28" ht="15.7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spans="1:28" ht="15.7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spans="1:28" ht="15.7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spans="1:28" ht="15.7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spans="1:28" ht="15.7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spans="1:28" ht="15.7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spans="1:28" ht="15.7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spans="1:28" ht="15.7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spans="1:28" ht="15.7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spans="1:28" ht="15.7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spans="1:28" ht="15.7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spans="1:28" ht="15.7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spans="1:28" ht="15.7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spans="1:28" ht="15.7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spans="1:28" ht="15.7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spans="1:28" ht="15.7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spans="1:28" ht="15.7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spans="1:28" ht="15.7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spans="1:28" ht="15.7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spans="1:28" ht="15.7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spans="1:28" ht="15.7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spans="1:28" ht="15.7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spans="1:28" ht="15.7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spans="1:28" ht="15.7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spans="1:28" ht="15.7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spans="1:28" ht="15.7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spans="1:28" ht="15.7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spans="1:28" ht="15.7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spans="1:28" ht="15.7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spans="1:28" ht="15.7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spans="1:28" ht="15.7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spans="1:28" ht="15.7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spans="1:28" ht="15.7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spans="1:28" ht="15.7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spans="1:28" ht="15.7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spans="1:28" ht="15.7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spans="1:28" ht="15.7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spans="1:28" ht="15.7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spans="1:28" ht="15.7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spans="1:28" ht="15.7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spans="1:28" ht="15.7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spans="1:28" ht="15.7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spans="1:28" ht="15.7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spans="1:28" ht="15.7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spans="1:28" ht="15.7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spans="1:28" ht="15.7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spans="1:28" ht="15.7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spans="1:28" ht="15.7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spans="1:28" ht="15.7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spans="1:28" ht="15.7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spans="1:28" ht="15.7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spans="1:28" ht="15.7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spans="1:28" ht="15.7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spans="1:28" ht="15.7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spans="1:28" ht="15.7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spans="1:28" ht="15.7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spans="1:28" ht="15.7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spans="1:28" ht="15.7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spans="1:28" ht="15.7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spans="1:28" ht="15.7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spans="1:28" ht="15.7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spans="1:28" ht="15.7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spans="1:28" ht="15.7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spans="1:28" ht="15.7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spans="1:28" ht="15.7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spans="1:28" ht="15.7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spans="1:28" ht="15.7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spans="1:28" ht="15.7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spans="1:28" ht="15.7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spans="1:28" ht="15.7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spans="1:28" ht="15.7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spans="1:28" ht="15.7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spans="1:28" ht="15.7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spans="1:28" ht="15.7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spans="1:28" ht="15.7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spans="1:28" ht="15.7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spans="1:28" ht="15.7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spans="1:28" ht="15.7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spans="1:28" ht="15.7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spans="1:28" ht="15.7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spans="1:28" ht="15.7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spans="1:28" ht="15.7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spans="1:28" ht="15.7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spans="1:28" ht="15.7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spans="1:28" ht="15.7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spans="1:28" ht="15.7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spans="1:28" ht="15.7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spans="1:28" ht="15.7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spans="1:28" ht="15.7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spans="1:28" ht="15.7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spans="1:28" ht="15.7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spans="1:28" ht="15.7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spans="1:28" ht="15.7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spans="1:28" ht="15.7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spans="1:28" ht="15.7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spans="1:28" ht="15.7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spans="1:28" ht="15.7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spans="1:28" ht="15.7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spans="1:28" ht="15.7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spans="1:28" ht="15.7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spans="1:28" ht="15.7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spans="1:28" ht="15.7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spans="1:28" ht="15.7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spans="1:28" ht="15.7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spans="1:28" ht="15.7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spans="1:28" ht="15.7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spans="1:28" ht="15.7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spans="1:28" ht="15.7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spans="1:28" ht="15.7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spans="1:28" ht="15.7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spans="1:28" ht="15.7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spans="1:28" ht="15.7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spans="1:28" ht="15.7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spans="1:28" ht="15.7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spans="1:28" ht="15.7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spans="1:28" ht="15.7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spans="1:28" ht="15.7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spans="1:28" ht="15.7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spans="1:28" ht="15.7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spans="1:28" ht="15.7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spans="1:28" ht="15.7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spans="1:28" ht="15.7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spans="1:28" ht="15.7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spans="1:28" ht="15.7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spans="1:28" ht="15.7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spans="1:28" ht="15.7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spans="1:28" ht="15.7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spans="1:28" ht="15.7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spans="1:28" ht="15.7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spans="1:28" ht="15.7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spans="1:28" ht="15.7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spans="1:28" ht="15.7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spans="1:28" ht="15.7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spans="1:28" ht="15.7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spans="1:28" ht="15.7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spans="1:28" ht="15.7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spans="1:28" ht="15.7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spans="1:28" ht="15.7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spans="1:28" ht="15.7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spans="1:28" ht="15.7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spans="1:28" ht="15.7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spans="1:28" ht="15.7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spans="1:28" ht="15.7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spans="1:28" ht="15.7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spans="1:28" ht="15.7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spans="1:28" ht="15.7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spans="1:28" ht="15.7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spans="1:28" ht="15.7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spans="1:28" ht="15.7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spans="1:28" ht="15.7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spans="1:28" ht="15.7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spans="1:28" ht="15.7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spans="1:28" ht="15.7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spans="1:28" ht="15.7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spans="1:28" ht="15.7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spans="1:28" ht="15.7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spans="1:28" ht="15.7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spans="1:28" ht="15.7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spans="1:28" ht="15.7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spans="1:28" ht="15.7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spans="1:28" ht="15.7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spans="1:28" ht="15.7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spans="1:28" ht="15.7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spans="1:28" ht="15.7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spans="1:28" ht="15.7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spans="1:28" ht="15.7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spans="1:28" ht="15.7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spans="1:28" ht="15.7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spans="1:28" ht="15.7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spans="1:28" ht="15.7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spans="1:28" ht="15.7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spans="1:28" ht="15.7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spans="1:28" ht="15.7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spans="1:28" ht="15.7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spans="1:28" ht="15.7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spans="1:28" ht="15.7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spans="1:28" ht="15.7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spans="1:28" ht="15.7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spans="1:28" ht="15.7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spans="1:28" ht="15.7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spans="1:28" ht="15.7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spans="1:28" ht="15.7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spans="1:28" ht="15.7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spans="1:28" ht="15.7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spans="1:28" ht="15.7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spans="1:28" ht="15.7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spans="1:28" ht="15.7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spans="1:28" ht="15.7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spans="1:28" ht="15.7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spans="1:28" ht="15.7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spans="1:28" ht="15.7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spans="1:28" ht="15.7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spans="1:28" ht="15.7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spans="1:28" ht="15.7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spans="1:28" ht="15.7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spans="1:28" ht="15.7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spans="1:28" ht="15.7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spans="1:28" ht="15.7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spans="1:28" ht="15.7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spans="1:28" ht="15.7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spans="1:28" ht="15.7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spans="1:28" ht="15.7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spans="1:28" ht="15.7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spans="1:28" ht="15.7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spans="1:28" ht="15.7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spans="1:28" ht="15.7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spans="1:28" ht="15.7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spans="1:28" ht="15.7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spans="1:28" ht="15.7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spans="1:28" ht="15.7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spans="1:28" ht="15.7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spans="1:28" ht="15.7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spans="1:28" ht="15.7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spans="1:28" ht="15.7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spans="1:28" ht="15.7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spans="1:28" ht="15.7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spans="1:28" ht="15.7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spans="1:28" ht="15.7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spans="1:28" ht="15.7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spans="1:28" ht="15.7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spans="1:28" ht="15.7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spans="1:28" ht="15.7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spans="1:28" ht="15.7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spans="1:28" ht="15.7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spans="1:28" ht="15.7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spans="1:28" ht="15.7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spans="1:28" ht="15.7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spans="1:28" ht="15.7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spans="1:28" ht="15.7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spans="1:28" ht="15.7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spans="1:28" ht="15.7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spans="1:28" ht="15.7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spans="1:28" ht="15.7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spans="1:28" ht="15.7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spans="1:28" ht="15.7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spans="1:28" ht="15.7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spans="1:28" ht="15.7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spans="1:28" ht="15.7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spans="1:28" ht="15.7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spans="1:28" ht="15.7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spans="1:28" ht="15.7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spans="1:28" ht="15.7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spans="1:28" ht="15.7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spans="1:28" ht="15.7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spans="1:28" ht="15.7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spans="1:28" ht="15.7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spans="1:28" ht="15.7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spans="1:28" ht="15.7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spans="1:28" ht="15.7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spans="1:28" ht="15.7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spans="1:28" ht="15.7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spans="1:28" ht="15.7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spans="1:28" ht="15.7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spans="1:28" ht="15.7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spans="1:28" ht="15.7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spans="1:28" ht="15.7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spans="1:28" ht="15.7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spans="1:28" ht="15.7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spans="1:28" ht="15.7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spans="1:28" ht="15.7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spans="1:28" ht="15.7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spans="1:28" ht="15.7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spans="1:28" ht="15.7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spans="1:28" ht="15.7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spans="1:28" ht="15.7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spans="1:28" ht="15.7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spans="1:28" ht="15.7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spans="1:28" ht="15.7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spans="1:28" ht="15.7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spans="1:28" ht="15.7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spans="1:28" ht="15.7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spans="1:28" ht="15.7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spans="1:28" ht="15.7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spans="1:28" ht="15.7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spans="1:28" ht="15.7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spans="1:28" ht="15.7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spans="1:28" ht="15.7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spans="1:28" ht="15.7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spans="1:28" ht="15.7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spans="1:28" ht="15.7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spans="1:28" ht="15.7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spans="1:28" ht="15.7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spans="1:28" ht="15.7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spans="1:28" ht="15.7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spans="1:28" ht="15.7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spans="1:28" ht="15.7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spans="1:28" ht="15.7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spans="1:28" ht="15.7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spans="1:28" ht="15.7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spans="1:28" ht="15.7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spans="1:28" ht="15.7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spans="1:28" ht="15.7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spans="1:28" ht="15.7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spans="1:28" ht="15.7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spans="1:28" ht="15.7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spans="1:28" ht="15.7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spans="1:28" ht="15.7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spans="1:28" ht="15.7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spans="1:28" ht="15.7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spans="1:28" ht="15.7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spans="1:28" ht="15.7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spans="1:28" ht="15.7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spans="1:28" ht="15.7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spans="1:28" ht="15.7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spans="1:28" ht="15.7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spans="1:28" ht="15.7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spans="1:28" ht="15.7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spans="1:28" ht="15.7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spans="1:28" ht="15.7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spans="1:28" ht="15.7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spans="1:28" ht="15.7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spans="1:28" ht="15.7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spans="1:28" ht="15.7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spans="1:28" ht="15.7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spans="1:28" ht="15.7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spans="1:28" ht="15.7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spans="1:28" ht="15.7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spans="1:28" ht="15.7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spans="1:28" ht="15.7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spans="1:28" ht="15.7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spans="1:28" ht="15.7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spans="1:28" ht="15.7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spans="1:28" ht="15.7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spans="1:28" ht="15.7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spans="1:28" ht="15.7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spans="1:28" ht="15.7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spans="1:28" ht="15.7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spans="1:28" ht="15.7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Historical data - Complete W12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Manna</dc:creator>
  <cp:lastModifiedBy>Simone Caruso</cp:lastModifiedBy>
  <dcterms:created xsi:type="dcterms:W3CDTF">2023-05-15T10:13:37Z</dcterms:created>
  <dcterms:modified xsi:type="dcterms:W3CDTF">2026-02-28T15:21:10Z</dcterms:modified>
</cp:coreProperties>
</file>