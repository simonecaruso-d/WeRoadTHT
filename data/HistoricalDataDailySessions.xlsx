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data" sheetId="1" r:id="rId4"/>
    <sheet state="hidden" name="Historical data - Complete W12 " sheetId="2" r:id="rId5"/>
  </sheets>
  <definedNames/>
  <calcPr/>
  <extLst>
    <ext uri="GoogleSheetsCustomDataVersion2">
      <go:sheetsCustomData xmlns:go="http://customooxmlschemas.google.com/" r:id="rId6" roundtripDataChecksum="ltSz/wIAGQiXFFFSRuugr8Z8XD1UTRkUz8gjKGIRYac="/>
    </ext>
  </extLst>
</workbook>
</file>

<file path=xl/sharedStrings.xml><?xml version="1.0" encoding="utf-8"?>
<sst xmlns="http://schemas.openxmlformats.org/spreadsheetml/2006/main" count="55" uniqueCount="31">
  <si>
    <t>Date</t>
  </si>
  <si>
    <t>Day</t>
  </si>
  <si>
    <t>Month</t>
  </si>
  <si>
    <t>Tot. PFM Investment</t>
  </si>
  <si>
    <t>Organic sessions</t>
  </si>
  <si>
    <t>Paid Sessions</t>
  </si>
  <si>
    <t>Total Sessions</t>
  </si>
  <si>
    <t>PPC Brand €</t>
  </si>
  <si>
    <t>PPC Brand click</t>
  </si>
  <si>
    <t>PPC Brand CPC</t>
  </si>
  <si>
    <t>PPC Brand Session</t>
  </si>
  <si>
    <t>PPC Generic €</t>
  </si>
  <si>
    <t>PPC Generic click</t>
  </si>
  <si>
    <t>PPC Generic CPC</t>
  </si>
  <si>
    <t>PPC Generic Session</t>
  </si>
  <si>
    <t>Meta €</t>
  </si>
  <si>
    <t>Meta Imp.</t>
  </si>
  <si>
    <t>Meta CPM</t>
  </si>
  <si>
    <t>Meta Session</t>
  </si>
  <si>
    <t>Display €</t>
  </si>
  <si>
    <t>Display click</t>
  </si>
  <si>
    <t>Display CPC</t>
  </si>
  <si>
    <t>Display Session</t>
  </si>
  <si>
    <t>TikTok €</t>
  </si>
  <si>
    <t>TikTok imp.</t>
  </si>
  <si>
    <t>TikTok CPM</t>
  </si>
  <si>
    <t>TikTok Session</t>
  </si>
  <si>
    <t>Monday</t>
  </si>
  <si>
    <t>Sunday</t>
  </si>
  <si>
    <t>Week</t>
  </si>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</sst>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\ &quot;€&quot;_-;\-* #,##0\ &quot;€&quot;_-;_-* &quot;-&quot;??\ &quot;€&quot;_-;_-@"/>
    <numFmt numFmtId="165" formatCode="_-* #,##0.00\ &quot;€&quot;_-;\-* #,##0.00\ &quot;€&quot;_-;_-* &quot;-&quot;??\ &quot;€&quot;_-;_-@"/>
    <numFmt numFmtId="166" formatCode="d/m/yyyy"/>
    <numFmt numFmtId="167" formatCode="_-* #,##0.00\ &quot;€&quot;_-;\-* #,##0.00\ &quot;€&quot;_-;_-* &quot;-&quot;??.00\ &quot;€&quot;_-;_-@"/>
    <numFmt numFmtId="168" formatCode="###0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b/>
      <sz val="9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3" xfId="0" applyAlignment="1" applyFont="1" applyNumberFormat="1">
      <alignment horizontal="center" vertical="center"/>
    </xf>
    <xf borderId="0" fillId="2" fontId="1" numFmtId="164" xfId="0" applyAlignment="1" applyFont="1" applyNumberFormat="1">
      <alignment horizontal="center" vertical="center"/>
    </xf>
    <xf borderId="0" fillId="2" fontId="1" numFmtId="165" xfId="0" applyAlignment="1" applyFont="1" applyNumberFormat="1">
      <alignment horizontal="center" vertical="center"/>
    </xf>
    <xf borderId="0" fillId="2" fontId="1" numFmtId="165" xfId="0" applyAlignment="1" applyFont="1" applyNumberFormat="1">
      <alignment horizontal="right" vertical="center"/>
    </xf>
    <xf borderId="0" fillId="0" fontId="2" numFmtId="166" xfId="0" applyFont="1" applyNumberFormat="1"/>
    <xf borderId="0" fillId="0" fontId="2" numFmtId="0" xfId="0" applyFont="1"/>
    <xf borderId="0" fillId="0" fontId="2" numFmtId="3" xfId="0" applyFont="1" applyNumberFormat="1"/>
    <xf borderId="0" fillId="0" fontId="2" numFmtId="167" xfId="0" applyFont="1" applyNumberFormat="1"/>
    <xf borderId="0" fillId="0" fontId="2" numFmtId="0" xfId="0" applyAlignment="1" applyFont="1">
      <alignment horizontal="right"/>
    </xf>
    <xf borderId="0" fillId="0" fontId="2" numFmtId="164" xfId="0" applyFont="1" applyNumberFormat="1"/>
    <xf borderId="0" fillId="0" fontId="2" numFmtId="167" xfId="0" applyAlignment="1" applyFont="1" applyNumberFormat="1">
      <alignment horizontal="right"/>
    </xf>
    <xf borderId="0" fillId="0" fontId="2" numFmtId="168" xfId="0" applyFont="1" applyNumberFormat="1"/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right" vertical="center"/>
    </xf>
    <xf borderId="0" fillId="0" fontId="2" numFmtId="166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  <xf borderId="0" fillId="0" fontId="2" numFmtId="168" xfId="0" applyAlignment="1" applyFont="1" applyNumberFormat="1">
      <alignment horizontal="right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14"/>
    <col customWidth="1" min="2" max="2" width="18.14"/>
    <col customWidth="1" min="3" max="3" width="18.43"/>
    <col customWidth="1" min="4" max="4" width="22.86"/>
    <col customWidth="1" min="5" max="5" width="16.14"/>
    <col customWidth="1" min="6" max="30" width="20.71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4"/>
      <c r="AC1" s="5"/>
      <c r="AD1" s="5"/>
    </row>
    <row r="2">
      <c r="A2" s="6">
        <v>44562.0</v>
      </c>
      <c r="B2" s="7">
        <f t="shared" ref="B2:B731" si="1">DAY(A2)</f>
        <v>1</v>
      </c>
      <c r="C2" s="7">
        <f t="shared" ref="C2:C731" si="2">MONTH(A2)</f>
        <v>1</v>
      </c>
      <c r="D2" s="7">
        <v>469.28</v>
      </c>
      <c r="E2" s="7">
        <v>3366.0</v>
      </c>
      <c r="F2" s="7">
        <v>2732.0</v>
      </c>
      <c r="G2" s="7">
        <v>6098.0</v>
      </c>
      <c r="H2" s="7">
        <v>98.73</v>
      </c>
      <c r="I2" s="7">
        <v>1337.0</v>
      </c>
      <c r="J2" s="7">
        <v>0.074</v>
      </c>
      <c r="K2" s="7">
        <v>964.0</v>
      </c>
      <c r="L2" s="7">
        <v>254.81</v>
      </c>
      <c r="M2" s="7">
        <v>521.0</v>
      </c>
      <c r="N2" s="7">
        <v>0.489</v>
      </c>
      <c r="O2" s="8">
        <v>493.0</v>
      </c>
      <c r="P2" s="7">
        <v>115.74</v>
      </c>
      <c r="Q2" s="9">
        <v>124263.0</v>
      </c>
      <c r="R2" s="7">
        <v>0.93</v>
      </c>
      <c r="S2" s="7">
        <v>1195.0</v>
      </c>
      <c r="T2" s="7">
        <v>0.0</v>
      </c>
      <c r="U2" s="7">
        <v>0.0</v>
      </c>
      <c r="V2" s="7">
        <v>0.0</v>
      </c>
      <c r="W2" s="7">
        <v>101.0</v>
      </c>
      <c r="X2" s="7">
        <v>0.0</v>
      </c>
      <c r="Y2" s="10">
        <v>0.0</v>
      </c>
      <c r="Z2" s="10">
        <v>0.0</v>
      </c>
      <c r="AA2" s="11">
        <v>0.0</v>
      </c>
      <c r="AB2" s="7"/>
      <c r="AC2" s="12"/>
      <c r="AD2" s="10"/>
    </row>
    <row r="3">
      <c r="A3" s="6">
        <v>44563.0</v>
      </c>
      <c r="B3" s="7">
        <f t="shared" si="1"/>
        <v>2</v>
      </c>
      <c r="C3" s="7">
        <f t="shared" si="2"/>
        <v>1</v>
      </c>
      <c r="D3" s="7">
        <v>570.74</v>
      </c>
      <c r="E3" s="7">
        <v>3924.0</v>
      </c>
      <c r="F3" s="7">
        <v>3952.0</v>
      </c>
      <c r="G3" s="7">
        <v>7876.0</v>
      </c>
      <c r="H3" s="7">
        <v>105.59</v>
      </c>
      <c r="I3" s="7">
        <v>1750.0</v>
      </c>
      <c r="J3" s="7">
        <v>0.06</v>
      </c>
      <c r="K3" s="7">
        <v>1499.0</v>
      </c>
      <c r="L3" s="7">
        <v>315.95</v>
      </c>
      <c r="M3" s="7">
        <v>704.0</v>
      </c>
      <c r="N3" s="7">
        <v>0.449</v>
      </c>
      <c r="O3" s="8">
        <v>718.0</v>
      </c>
      <c r="P3" s="7">
        <v>149.2</v>
      </c>
      <c r="Q3" s="9">
        <v>206205.0</v>
      </c>
      <c r="R3" s="7">
        <v>0.72</v>
      </c>
      <c r="S3" s="7">
        <v>1735.0</v>
      </c>
      <c r="T3" s="7">
        <v>0.0</v>
      </c>
      <c r="U3" s="7">
        <v>0.0</v>
      </c>
      <c r="V3" s="7">
        <v>0.0</v>
      </c>
      <c r="W3" s="7">
        <v>92.0</v>
      </c>
      <c r="X3" s="7">
        <v>0.0</v>
      </c>
      <c r="Y3" s="10">
        <v>0.0</v>
      </c>
      <c r="Z3" s="10">
        <v>0.0</v>
      </c>
      <c r="AA3" s="11">
        <v>0.0</v>
      </c>
      <c r="AB3" s="7"/>
      <c r="AC3" s="12"/>
      <c r="AD3" s="10"/>
    </row>
    <row r="4">
      <c r="A4" s="6">
        <v>44564.0</v>
      </c>
      <c r="B4" s="7">
        <f t="shared" si="1"/>
        <v>3</v>
      </c>
      <c r="C4" s="7">
        <f t="shared" si="2"/>
        <v>1</v>
      </c>
      <c r="D4" s="7">
        <v>694.06</v>
      </c>
      <c r="E4" s="7">
        <v>4219.0</v>
      </c>
      <c r="F4" s="7">
        <v>3864.0</v>
      </c>
      <c r="G4" s="7">
        <v>8083.0</v>
      </c>
      <c r="H4" s="7">
        <v>101.93</v>
      </c>
      <c r="I4" s="7">
        <v>1562.0</v>
      </c>
      <c r="J4" s="7">
        <v>0.065</v>
      </c>
      <c r="K4" s="7">
        <v>1372.0</v>
      </c>
      <c r="L4" s="7">
        <v>431.57</v>
      </c>
      <c r="M4" s="7">
        <v>765.0</v>
      </c>
      <c r="N4" s="7">
        <v>0.564</v>
      </c>
      <c r="O4" s="8">
        <v>782.0</v>
      </c>
      <c r="P4" s="7">
        <v>160.56</v>
      </c>
      <c r="Q4" s="9">
        <v>244242.0</v>
      </c>
      <c r="R4" s="7">
        <v>0.66</v>
      </c>
      <c r="S4" s="7">
        <v>1619.0</v>
      </c>
      <c r="T4" s="7">
        <v>0.0</v>
      </c>
      <c r="U4" s="7">
        <v>0.0</v>
      </c>
      <c r="V4" s="7">
        <v>0.0</v>
      </c>
      <c r="W4" s="7">
        <v>113.0</v>
      </c>
      <c r="X4" s="7">
        <v>0.0</v>
      </c>
      <c r="Y4" s="10">
        <v>0.0</v>
      </c>
      <c r="Z4" s="10">
        <v>0.0</v>
      </c>
      <c r="AA4" s="11">
        <v>0.0</v>
      </c>
      <c r="AB4" s="7"/>
      <c r="AC4" s="12"/>
      <c r="AD4" s="10"/>
    </row>
    <row r="5">
      <c r="A5" s="6">
        <v>44565.0</v>
      </c>
      <c r="B5" s="7">
        <f t="shared" si="1"/>
        <v>4</v>
      </c>
      <c r="C5" s="7">
        <f t="shared" si="2"/>
        <v>1</v>
      </c>
      <c r="D5" s="7">
        <v>1303.07</v>
      </c>
      <c r="E5" s="7">
        <v>4190.0</v>
      </c>
      <c r="F5" s="7">
        <v>5386.0</v>
      </c>
      <c r="G5" s="7">
        <v>9576.0</v>
      </c>
      <c r="H5" s="7">
        <v>89.71</v>
      </c>
      <c r="I5" s="7">
        <v>1387.0</v>
      </c>
      <c r="J5" s="7">
        <v>0.065</v>
      </c>
      <c r="K5" s="7">
        <v>1257.0</v>
      </c>
      <c r="L5" s="7">
        <v>754.95</v>
      </c>
      <c r="M5" s="7">
        <v>1195.0</v>
      </c>
      <c r="N5" s="7">
        <v>0.632</v>
      </c>
      <c r="O5" s="8">
        <v>1174.0</v>
      </c>
      <c r="P5" s="7">
        <v>458.41</v>
      </c>
      <c r="Q5" s="9">
        <v>494117.0</v>
      </c>
      <c r="R5" s="7">
        <v>0.93</v>
      </c>
      <c r="S5" s="7">
        <v>2971.0</v>
      </c>
      <c r="T5" s="7">
        <v>0.0</v>
      </c>
      <c r="U5" s="7">
        <v>0.0</v>
      </c>
      <c r="V5" s="7">
        <v>0.0</v>
      </c>
      <c r="W5" s="7">
        <v>93.0</v>
      </c>
      <c r="X5" s="7">
        <v>0.0</v>
      </c>
      <c r="Y5" s="10">
        <v>0.0</v>
      </c>
      <c r="Z5" s="10">
        <v>0.0</v>
      </c>
      <c r="AA5" s="11">
        <v>0.0</v>
      </c>
      <c r="AB5" s="7"/>
      <c r="AC5" s="12"/>
      <c r="AD5" s="10"/>
    </row>
    <row r="6">
      <c r="A6" s="6">
        <v>44566.0</v>
      </c>
      <c r="B6" s="7">
        <f t="shared" si="1"/>
        <v>5</v>
      </c>
      <c r="C6" s="7">
        <f t="shared" si="2"/>
        <v>1</v>
      </c>
      <c r="D6" s="7">
        <v>2274.5</v>
      </c>
      <c r="E6" s="7">
        <v>3556.0</v>
      </c>
      <c r="F6" s="7">
        <v>6477.0</v>
      </c>
      <c r="G6" s="7">
        <v>10033.0</v>
      </c>
      <c r="H6" s="7">
        <v>103.92</v>
      </c>
      <c r="I6" s="7">
        <v>1340.0</v>
      </c>
      <c r="J6" s="7">
        <v>0.078</v>
      </c>
      <c r="K6" s="7">
        <v>1146.0</v>
      </c>
      <c r="L6" s="7">
        <v>772.2</v>
      </c>
      <c r="M6" s="7">
        <v>1068.0</v>
      </c>
      <c r="N6" s="7">
        <v>0.723</v>
      </c>
      <c r="O6" s="8">
        <v>1061.0</v>
      </c>
      <c r="P6" s="7">
        <v>1398.38</v>
      </c>
      <c r="Q6" s="9">
        <v>1483859.0</v>
      </c>
      <c r="R6" s="7">
        <v>0.94</v>
      </c>
      <c r="S6" s="7">
        <v>4291.0</v>
      </c>
      <c r="T6" s="7">
        <v>0.0</v>
      </c>
      <c r="U6" s="7">
        <v>0.0</v>
      </c>
      <c r="V6" s="7">
        <v>0.0</v>
      </c>
      <c r="W6" s="7">
        <v>69.0</v>
      </c>
      <c r="X6" s="7">
        <v>0.0</v>
      </c>
      <c r="Y6" s="10">
        <v>0.0</v>
      </c>
      <c r="Z6" s="10">
        <v>0.0</v>
      </c>
      <c r="AA6" s="11">
        <v>0.0</v>
      </c>
      <c r="AB6" s="7"/>
      <c r="AC6" s="12"/>
      <c r="AD6" s="10"/>
    </row>
    <row r="7">
      <c r="A7" s="6">
        <v>44567.0</v>
      </c>
      <c r="B7" s="7">
        <f t="shared" si="1"/>
        <v>6</v>
      </c>
      <c r="C7" s="7">
        <f t="shared" si="2"/>
        <v>1</v>
      </c>
      <c r="D7" s="7">
        <v>2734.88</v>
      </c>
      <c r="E7" s="7">
        <v>3557.0</v>
      </c>
      <c r="F7" s="7">
        <v>7710.0</v>
      </c>
      <c r="G7" s="7">
        <v>11267.0</v>
      </c>
      <c r="H7" s="7">
        <v>93.03</v>
      </c>
      <c r="I7" s="7">
        <v>1354.0</v>
      </c>
      <c r="J7" s="7">
        <v>0.069</v>
      </c>
      <c r="K7" s="7">
        <v>1186.0</v>
      </c>
      <c r="L7" s="7">
        <v>718.4</v>
      </c>
      <c r="M7" s="7">
        <v>1225.0</v>
      </c>
      <c r="N7" s="7">
        <v>0.586</v>
      </c>
      <c r="O7" s="8">
        <v>1145.0</v>
      </c>
      <c r="P7" s="7">
        <v>1923.45</v>
      </c>
      <c r="Q7" s="9">
        <v>1941013.0</v>
      </c>
      <c r="R7" s="7">
        <v>0.99</v>
      </c>
      <c r="S7" s="7">
        <v>5282.0</v>
      </c>
      <c r="T7" s="7">
        <v>0.0</v>
      </c>
      <c r="U7" s="7">
        <v>0.0</v>
      </c>
      <c r="V7" s="7">
        <v>0.0</v>
      </c>
      <c r="W7" s="7">
        <v>102.0</v>
      </c>
      <c r="X7" s="7">
        <v>0.0</v>
      </c>
      <c r="Y7" s="10">
        <v>0.0</v>
      </c>
      <c r="Z7" s="10">
        <v>0.0</v>
      </c>
      <c r="AA7" s="11">
        <v>0.0</v>
      </c>
      <c r="AB7" s="7"/>
      <c r="AC7" s="12"/>
      <c r="AD7" s="10"/>
    </row>
    <row r="8">
      <c r="A8" s="6">
        <v>44568.0</v>
      </c>
      <c r="B8" s="7">
        <f t="shared" si="1"/>
        <v>7</v>
      </c>
      <c r="C8" s="7">
        <f t="shared" si="2"/>
        <v>1</v>
      </c>
      <c r="D8" s="7">
        <v>2895.9</v>
      </c>
      <c r="E8" s="7">
        <v>4394.0</v>
      </c>
      <c r="F8" s="7">
        <v>5345.0</v>
      </c>
      <c r="G8" s="7">
        <v>9739.0</v>
      </c>
      <c r="H8" s="7">
        <v>76.87</v>
      </c>
      <c r="I8" s="7">
        <v>1222.0</v>
      </c>
      <c r="J8" s="7">
        <v>0.063</v>
      </c>
      <c r="K8" s="7">
        <v>992.0</v>
      </c>
      <c r="L8" s="7">
        <v>772.03</v>
      </c>
      <c r="M8" s="7">
        <v>1252.0</v>
      </c>
      <c r="N8" s="7">
        <v>0.617</v>
      </c>
      <c r="O8" s="8">
        <v>1045.0</v>
      </c>
      <c r="P8" s="7">
        <v>1973.47</v>
      </c>
      <c r="Q8" s="9">
        <v>2093487.0</v>
      </c>
      <c r="R8" s="7">
        <v>0.94</v>
      </c>
      <c r="S8" s="7">
        <v>3247.0</v>
      </c>
      <c r="T8" s="7">
        <v>73.53</v>
      </c>
      <c r="U8" s="7">
        <v>258.0</v>
      </c>
      <c r="V8" s="7">
        <v>0.29</v>
      </c>
      <c r="W8" s="7">
        <v>215.0</v>
      </c>
      <c r="X8" s="7">
        <v>0.0</v>
      </c>
      <c r="Y8" s="10">
        <v>0.0</v>
      </c>
      <c r="Z8" s="10">
        <v>0.0</v>
      </c>
      <c r="AA8" s="11">
        <v>0.0</v>
      </c>
      <c r="AB8" s="7"/>
      <c r="AC8" s="12"/>
      <c r="AD8" s="10"/>
    </row>
    <row r="9">
      <c r="A9" s="6">
        <v>44569.0</v>
      </c>
      <c r="B9" s="7">
        <f t="shared" si="1"/>
        <v>8</v>
      </c>
      <c r="C9" s="7">
        <f t="shared" si="2"/>
        <v>1</v>
      </c>
      <c r="D9" s="7">
        <v>2920.08</v>
      </c>
      <c r="E9" s="7">
        <v>3473.0</v>
      </c>
      <c r="F9" s="7">
        <v>6609.0</v>
      </c>
      <c r="G9" s="7">
        <v>10082.0</v>
      </c>
      <c r="H9" s="7">
        <v>67.07</v>
      </c>
      <c r="I9" s="7">
        <v>1264.0</v>
      </c>
      <c r="J9" s="7">
        <v>0.053</v>
      </c>
      <c r="K9" s="7">
        <v>1152.0</v>
      </c>
      <c r="L9" s="7">
        <v>735.85</v>
      </c>
      <c r="M9" s="7">
        <v>1274.0</v>
      </c>
      <c r="N9" s="7">
        <v>0.578</v>
      </c>
      <c r="O9" s="8">
        <v>1230.0</v>
      </c>
      <c r="P9" s="7">
        <v>2042.91</v>
      </c>
      <c r="Q9" s="9">
        <v>2210700.0</v>
      </c>
      <c r="R9" s="7">
        <v>0.92</v>
      </c>
      <c r="S9" s="7">
        <v>4059.0</v>
      </c>
      <c r="T9" s="7">
        <v>74.25</v>
      </c>
      <c r="U9" s="7">
        <v>211.0</v>
      </c>
      <c r="V9" s="7">
        <v>0.35</v>
      </c>
      <c r="W9" s="7">
        <v>212.0</v>
      </c>
      <c r="X9" s="7">
        <v>0.0</v>
      </c>
      <c r="Y9" s="10">
        <v>0.0</v>
      </c>
      <c r="Z9" s="10">
        <v>0.0</v>
      </c>
      <c r="AA9" s="11">
        <v>0.0</v>
      </c>
      <c r="AB9" s="7"/>
      <c r="AC9" s="12"/>
      <c r="AD9" s="10"/>
    </row>
    <row r="10">
      <c r="A10" s="6">
        <v>44570.0</v>
      </c>
      <c r="B10" s="7">
        <f t="shared" si="1"/>
        <v>9</v>
      </c>
      <c r="C10" s="7">
        <f t="shared" si="2"/>
        <v>1</v>
      </c>
      <c r="D10" s="7">
        <v>3038.99</v>
      </c>
      <c r="E10" s="7">
        <v>4193.0</v>
      </c>
      <c r="F10" s="7">
        <v>7539.0</v>
      </c>
      <c r="G10" s="7">
        <v>11732.0</v>
      </c>
      <c r="H10" s="7">
        <v>96.63</v>
      </c>
      <c r="I10" s="7">
        <v>1501.0</v>
      </c>
      <c r="J10" s="7">
        <v>0.064</v>
      </c>
      <c r="K10" s="7">
        <v>1294.0</v>
      </c>
      <c r="L10" s="7">
        <v>785.03</v>
      </c>
      <c r="M10" s="7">
        <v>1504.0</v>
      </c>
      <c r="N10" s="7">
        <v>0.522</v>
      </c>
      <c r="O10" s="8">
        <v>1461.0</v>
      </c>
      <c r="P10" s="7">
        <v>2083.9</v>
      </c>
      <c r="Q10" s="9">
        <v>2608679.0</v>
      </c>
      <c r="R10" s="7">
        <v>0.8</v>
      </c>
      <c r="S10" s="7">
        <v>4542.0</v>
      </c>
      <c r="T10" s="7">
        <v>73.43</v>
      </c>
      <c r="U10" s="7">
        <v>174.0</v>
      </c>
      <c r="V10" s="7">
        <v>0.42</v>
      </c>
      <c r="W10" s="7">
        <v>200.0</v>
      </c>
      <c r="X10" s="7">
        <v>0.0</v>
      </c>
      <c r="Y10" s="10">
        <v>0.0</v>
      </c>
      <c r="Z10" s="10">
        <v>0.0</v>
      </c>
      <c r="AA10" s="11">
        <v>0.0</v>
      </c>
      <c r="AB10" s="7"/>
      <c r="AC10" s="12"/>
      <c r="AD10" s="10"/>
    </row>
    <row r="11">
      <c r="A11" s="6">
        <v>44571.0</v>
      </c>
      <c r="B11" s="7">
        <f t="shared" si="1"/>
        <v>10</v>
      </c>
      <c r="C11" s="7">
        <f t="shared" si="2"/>
        <v>1</v>
      </c>
      <c r="D11" s="7">
        <v>3109.34</v>
      </c>
      <c r="E11" s="7">
        <v>3895.0</v>
      </c>
      <c r="F11" s="7">
        <v>6762.0</v>
      </c>
      <c r="G11" s="7">
        <v>10657.0</v>
      </c>
      <c r="H11" s="7">
        <v>94.54</v>
      </c>
      <c r="I11" s="7">
        <v>1311.0</v>
      </c>
      <c r="J11" s="7">
        <v>0.072</v>
      </c>
      <c r="K11" s="7">
        <v>1211.0</v>
      </c>
      <c r="L11" s="7">
        <v>747.12</v>
      </c>
      <c r="M11" s="7">
        <v>1260.0</v>
      </c>
      <c r="N11" s="7">
        <v>0.593</v>
      </c>
      <c r="O11" s="8">
        <v>1248.0</v>
      </c>
      <c r="P11" s="7">
        <v>2134.71</v>
      </c>
      <c r="Q11" s="9">
        <v>2365324.0</v>
      </c>
      <c r="R11" s="7">
        <v>0.9</v>
      </c>
      <c r="S11" s="7">
        <v>3787.0</v>
      </c>
      <c r="T11" s="7">
        <v>132.97</v>
      </c>
      <c r="U11" s="7">
        <v>546.0</v>
      </c>
      <c r="V11" s="7">
        <v>0.24</v>
      </c>
      <c r="W11" s="7">
        <v>465.0</v>
      </c>
      <c r="X11" s="7">
        <v>0.0</v>
      </c>
      <c r="Y11" s="10">
        <v>0.0</v>
      </c>
      <c r="Z11" s="10">
        <v>0.0</v>
      </c>
      <c r="AA11" s="11">
        <v>0.0</v>
      </c>
      <c r="AB11" s="7"/>
      <c r="AC11" s="12"/>
      <c r="AD11" s="10"/>
    </row>
    <row r="12">
      <c r="A12" s="6">
        <v>44572.0</v>
      </c>
      <c r="B12" s="7">
        <f t="shared" si="1"/>
        <v>11</v>
      </c>
      <c r="C12" s="7">
        <f t="shared" si="2"/>
        <v>1</v>
      </c>
      <c r="D12" s="7">
        <v>3324.77</v>
      </c>
      <c r="E12" s="7">
        <v>3762.0</v>
      </c>
      <c r="F12" s="7">
        <v>5966.0</v>
      </c>
      <c r="G12" s="7">
        <v>9728.0</v>
      </c>
      <c r="H12" s="7">
        <v>75.3</v>
      </c>
      <c r="I12" s="7">
        <v>1173.0</v>
      </c>
      <c r="J12" s="7">
        <v>0.064</v>
      </c>
      <c r="K12" s="7">
        <v>1061.0</v>
      </c>
      <c r="L12" s="7">
        <v>859.22</v>
      </c>
      <c r="M12" s="7">
        <v>1305.0</v>
      </c>
      <c r="N12" s="7">
        <v>0.658</v>
      </c>
      <c r="O12" s="8">
        <v>1360.0</v>
      </c>
      <c r="P12" s="7">
        <v>2305.57</v>
      </c>
      <c r="Q12" s="9">
        <v>2354183.0</v>
      </c>
      <c r="R12" s="7">
        <v>0.98</v>
      </c>
      <c r="S12" s="7">
        <v>3203.0</v>
      </c>
      <c r="T12" s="7">
        <v>84.68</v>
      </c>
      <c r="U12" s="7">
        <v>567.0</v>
      </c>
      <c r="V12" s="7">
        <v>0.15</v>
      </c>
      <c r="W12" s="7">
        <v>457.0</v>
      </c>
      <c r="X12" s="7">
        <v>0.0</v>
      </c>
      <c r="Y12" s="10">
        <v>0.0</v>
      </c>
      <c r="Z12" s="10">
        <v>0.0</v>
      </c>
      <c r="AA12" s="11">
        <v>0.0</v>
      </c>
      <c r="AB12" s="7"/>
      <c r="AC12" s="12"/>
      <c r="AD12" s="10"/>
    </row>
    <row r="13">
      <c r="A13" s="6">
        <v>44573.0</v>
      </c>
      <c r="B13" s="7">
        <f t="shared" si="1"/>
        <v>12</v>
      </c>
      <c r="C13" s="7">
        <f t="shared" si="2"/>
        <v>1</v>
      </c>
      <c r="D13" s="7">
        <v>3702.99</v>
      </c>
      <c r="E13" s="7">
        <v>3457.0</v>
      </c>
      <c r="F13" s="7">
        <v>6524.0</v>
      </c>
      <c r="G13" s="7">
        <v>9981.0</v>
      </c>
      <c r="H13" s="7">
        <v>70.87</v>
      </c>
      <c r="I13" s="7">
        <v>1102.0</v>
      </c>
      <c r="J13" s="7">
        <v>0.064</v>
      </c>
      <c r="K13" s="7">
        <v>1060.0</v>
      </c>
      <c r="L13" s="7">
        <v>1048.54</v>
      </c>
      <c r="M13" s="7">
        <v>1500.0</v>
      </c>
      <c r="N13" s="7">
        <v>0.699</v>
      </c>
      <c r="O13" s="8">
        <v>1491.0</v>
      </c>
      <c r="P13" s="7">
        <v>2502.74</v>
      </c>
      <c r="Q13" s="9">
        <v>2432626.0</v>
      </c>
      <c r="R13" s="7">
        <v>1.03</v>
      </c>
      <c r="S13" s="7">
        <v>3291.0</v>
      </c>
      <c r="T13" s="7">
        <v>80.84</v>
      </c>
      <c r="U13" s="7">
        <v>1003.0</v>
      </c>
      <c r="V13" s="7">
        <v>0.08</v>
      </c>
      <c r="W13" s="7">
        <v>701.0</v>
      </c>
      <c r="X13" s="7">
        <v>0.0</v>
      </c>
      <c r="Y13" s="10">
        <v>0.0</v>
      </c>
      <c r="Z13" s="10">
        <v>0.0</v>
      </c>
      <c r="AA13" s="11">
        <v>0.0</v>
      </c>
      <c r="AB13" s="7"/>
      <c r="AC13" s="12"/>
      <c r="AD13" s="10"/>
    </row>
    <row r="14">
      <c r="A14" s="6">
        <v>44574.0</v>
      </c>
      <c r="B14" s="7">
        <f t="shared" si="1"/>
        <v>13</v>
      </c>
      <c r="C14" s="7">
        <f t="shared" si="2"/>
        <v>1</v>
      </c>
      <c r="D14" s="7">
        <v>3996.47</v>
      </c>
      <c r="E14" s="7">
        <v>2709.0</v>
      </c>
      <c r="F14" s="7">
        <v>4021.0</v>
      </c>
      <c r="G14" s="7">
        <v>6730.0</v>
      </c>
      <c r="H14" s="7">
        <v>96.6</v>
      </c>
      <c r="I14" s="7">
        <v>1168.0</v>
      </c>
      <c r="J14" s="7">
        <v>0.083</v>
      </c>
      <c r="K14" s="7">
        <v>849.0</v>
      </c>
      <c r="L14" s="7">
        <v>1260.64</v>
      </c>
      <c r="M14" s="7">
        <v>1660.0</v>
      </c>
      <c r="N14" s="7">
        <v>0.759</v>
      </c>
      <c r="O14" s="8">
        <v>1244.0</v>
      </c>
      <c r="P14" s="7">
        <v>2389.31</v>
      </c>
      <c r="Q14" s="9">
        <v>2240574.0</v>
      </c>
      <c r="R14" s="7">
        <v>1.07</v>
      </c>
      <c r="S14" s="7">
        <v>1638.0</v>
      </c>
      <c r="T14" s="7">
        <v>151.38</v>
      </c>
      <c r="U14" s="7">
        <v>2769.0</v>
      </c>
      <c r="V14" s="7">
        <v>0.05</v>
      </c>
      <c r="W14" s="7">
        <v>279.0</v>
      </c>
      <c r="X14" s="7">
        <v>98.54</v>
      </c>
      <c r="Y14" s="10">
        <v>34985.0</v>
      </c>
      <c r="Z14" s="10">
        <v>2.82</v>
      </c>
      <c r="AA14" s="11">
        <v>0.0</v>
      </c>
      <c r="AB14" s="7"/>
      <c r="AC14" s="12"/>
      <c r="AD14" s="10"/>
    </row>
    <row r="15">
      <c r="A15" s="6">
        <v>44575.0</v>
      </c>
      <c r="B15" s="7">
        <f t="shared" si="1"/>
        <v>14</v>
      </c>
      <c r="C15" s="7">
        <f t="shared" si="2"/>
        <v>1</v>
      </c>
      <c r="D15" s="7">
        <v>5633.89</v>
      </c>
      <c r="E15" s="7">
        <v>2393.0</v>
      </c>
      <c r="F15" s="7">
        <v>4105.0</v>
      </c>
      <c r="G15" s="7">
        <v>6498.0</v>
      </c>
      <c r="H15" s="7">
        <v>68.11</v>
      </c>
      <c r="I15" s="7">
        <v>1112.0</v>
      </c>
      <c r="J15" s="7">
        <v>0.061</v>
      </c>
      <c r="K15" s="7">
        <v>723.0</v>
      </c>
      <c r="L15" s="7">
        <v>1725.5</v>
      </c>
      <c r="M15" s="7">
        <v>1936.0</v>
      </c>
      <c r="N15" s="7">
        <v>0.891</v>
      </c>
      <c r="O15" s="8">
        <v>1282.0</v>
      </c>
      <c r="P15" s="7">
        <v>3239.01</v>
      </c>
      <c r="Q15" s="9">
        <v>2617645.0</v>
      </c>
      <c r="R15" s="7">
        <v>1.24</v>
      </c>
      <c r="S15" s="7">
        <v>1720.0</v>
      </c>
      <c r="T15" s="7">
        <v>502.16</v>
      </c>
      <c r="U15" s="7">
        <v>9281.0</v>
      </c>
      <c r="V15" s="7">
        <v>0.05</v>
      </c>
      <c r="W15" s="7">
        <v>368.0</v>
      </c>
      <c r="X15" s="7">
        <v>99.11</v>
      </c>
      <c r="Y15" s="10">
        <v>39705.0</v>
      </c>
      <c r="Z15" s="10">
        <v>2.5</v>
      </c>
      <c r="AA15" s="11">
        <v>0.0</v>
      </c>
      <c r="AB15" s="7"/>
      <c r="AC15" s="12"/>
      <c r="AD15" s="10"/>
    </row>
    <row r="16">
      <c r="A16" s="6">
        <v>44576.0</v>
      </c>
      <c r="B16" s="7">
        <f t="shared" si="1"/>
        <v>15</v>
      </c>
      <c r="C16" s="7">
        <f t="shared" si="2"/>
        <v>1</v>
      </c>
      <c r="D16" s="7">
        <v>6748.75</v>
      </c>
      <c r="E16" s="7">
        <v>2059.0</v>
      </c>
      <c r="F16" s="7">
        <v>4798.0</v>
      </c>
      <c r="G16" s="7">
        <v>6857.0</v>
      </c>
      <c r="H16" s="7">
        <v>59.06</v>
      </c>
      <c r="I16" s="7">
        <v>1155.0</v>
      </c>
      <c r="J16" s="7">
        <v>0.051</v>
      </c>
      <c r="K16" s="7">
        <v>748.0</v>
      </c>
      <c r="L16" s="7">
        <v>2024.76</v>
      </c>
      <c r="M16" s="7">
        <v>2287.0</v>
      </c>
      <c r="N16" s="7">
        <v>0.885</v>
      </c>
      <c r="O16" s="8">
        <v>1455.0</v>
      </c>
      <c r="P16" s="7">
        <v>4063.6</v>
      </c>
      <c r="Q16" s="9">
        <v>2435411.0</v>
      </c>
      <c r="R16" s="7">
        <v>1.67</v>
      </c>
      <c r="S16" s="7">
        <v>2216.0</v>
      </c>
      <c r="T16" s="7">
        <v>502.97</v>
      </c>
      <c r="U16" s="7">
        <v>7886.0</v>
      </c>
      <c r="V16" s="7">
        <v>0.06</v>
      </c>
      <c r="W16" s="7">
        <v>390.0</v>
      </c>
      <c r="X16" s="7">
        <v>98.36</v>
      </c>
      <c r="Y16" s="10">
        <v>39954.0</v>
      </c>
      <c r="Z16" s="10">
        <v>2.46</v>
      </c>
      <c r="AA16" s="11">
        <v>0.0</v>
      </c>
      <c r="AB16" s="7"/>
      <c r="AC16" s="12"/>
      <c r="AD16" s="10"/>
    </row>
    <row r="17">
      <c r="A17" s="6">
        <v>44577.0</v>
      </c>
      <c r="B17" s="7">
        <f t="shared" si="1"/>
        <v>16</v>
      </c>
      <c r="C17" s="7">
        <f t="shared" si="2"/>
        <v>1</v>
      </c>
      <c r="D17" s="7">
        <v>7391.8</v>
      </c>
      <c r="E17" s="7">
        <v>4156.0</v>
      </c>
      <c r="F17" s="7">
        <v>4423.0</v>
      </c>
      <c r="G17" s="7">
        <v>8579.0</v>
      </c>
      <c r="H17" s="7">
        <v>66.5</v>
      </c>
      <c r="I17" s="7">
        <v>1478.0</v>
      </c>
      <c r="J17" s="7">
        <v>0.045</v>
      </c>
      <c r="K17" s="7">
        <v>697.0</v>
      </c>
      <c r="L17" s="7">
        <v>2716.44</v>
      </c>
      <c r="M17" s="7">
        <v>3249.0</v>
      </c>
      <c r="N17" s="7">
        <v>0.836</v>
      </c>
      <c r="O17" s="8">
        <v>1437.0</v>
      </c>
      <c r="P17" s="7">
        <v>4324.78</v>
      </c>
      <c r="Q17" s="9">
        <v>2734940.0</v>
      </c>
      <c r="R17" s="7">
        <v>1.58</v>
      </c>
      <c r="S17" s="7">
        <v>2056.0</v>
      </c>
      <c r="T17" s="7">
        <v>284.08</v>
      </c>
      <c r="U17" s="7">
        <v>4535.0</v>
      </c>
      <c r="V17" s="7">
        <v>0.06</v>
      </c>
      <c r="W17" s="7">
        <v>227.0</v>
      </c>
      <c r="X17" s="7">
        <v>0.0</v>
      </c>
      <c r="Y17" s="10">
        <v>0.0</v>
      </c>
      <c r="Z17" s="10">
        <v>0.0</v>
      </c>
      <c r="AA17" s="11">
        <v>0.0</v>
      </c>
      <c r="AB17" s="7"/>
      <c r="AC17" s="12"/>
      <c r="AD17" s="10"/>
    </row>
    <row r="18">
      <c r="A18" s="6">
        <v>44578.0</v>
      </c>
      <c r="B18" s="7">
        <f t="shared" si="1"/>
        <v>17</v>
      </c>
      <c r="C18" s="7">
        <f t="shared" si="2"/>
        <v>1</v>
      </c>
      <c r="D18" s="7">
        <v>5960.86</v>
      </c>
      <c r="E18" s="7">
        <v>2977.0</v>
      </c>
      <c r="F18" s="7">
        <v>5021.0</v>
      </c>
      <c r="G18" s="7">
        <v>7998.0</v>
      </c>
      <c r="H18" s="7">
        <v>84.53</v>
      </c>
      <c r="I18" s="7">
        <v>1390.0</v>
      </c>
      <c r="J18" s="7">
        <v>0.061</v>
      </c>
      <c r="K18" s="7">
        <v>907.0</v>
      </c>
      <c r="L18" s="7">
        <v>2498.6</v>
      </c>
      <c r="M18" s="7">
        <v>2591.0</v>
      </c>
      <c r="N18" s="7">
        <v>0.964</v>
      </c>
      <c r="O18" s="8">
        <v>1679.0</v>
      </c>
      <c r="P18" s="7">
        <v>3297.73</v>
      </c>
      <c r="Q18" s="9">
        <v>2394596.0</v>
      </c>
      <c r="R18" s="7">
        <v>1.38</v>
      </c>
      <c r="S18" s="7">
        <v>2338.0</v>
      </c>
      <c r="T18" s="7">
        <v>0.0</v>
      </c>
      <c r="U18" s="7">
        <v>0.0</v>
      </c>
      <c r="V18" s="7">
        <v>0.0</v>
      </c>
      <c r="W18" s="7">
        <v>66.0</v>
      </c>
      <c r="X18" s="7">
        <v>80.0</v>
      </c>
      <c r="Y18" s="10">
        <v>34633.0</v>
      </c>
      <c r="Z18" s="10">
        <v>2.31</v>
      </c>
      <c r="AA18" s="11">
        <v>0.0</v>
      </c>
      <c r="AB18" s="7"/>
      <c r="AC18" s="12"/>
      <c r="AD18" s="10"/>
    </row>
    <row r="19">
      <c r="A19" s="6">
        <v>44579.0</v>
      </c>
      <c r="B19" s="7">
        <f t="shared" si="1"/>
        <v>18</v>
      </c>
      <c r="C19" s="7">
        <f t="shared" si="2"/>
        <v>1</v>
      </c>
      <c r="D19" s="7">
        <v>5753.53</v>
      </c>
      <c r="E19" s="7">
        <v>2700.0</v>
      </c>
      <c r="F19" s="7">
        <v>5315.0</v>
      </c>
      <c r="G19" s="7">
        <v>8015.0</v>
      </c>
      <c r="H19" s="7">
        <v>60.86</v>
      </c>
      <c r="I19" s="7">
        <v>1300.0</v>
      </c>
      <c r="J19" s="7">
        <v>0.047</v>
      </c>
      <c r="K19" s="7">
        <v>894.0</v>
      </c>
      <c r="L19" s="7">
        <v>2242.51</v>
      </c>
      <c r="M19" s="7">
        <v>2392.0</v>
      </c>
      <c r="N19" s="7">
        <v>0.938</v>
      </c>
      <c r="O19" s="8">
        <v>1598.0</v>
      </c>
      <c r="P19" s="7">
        <v>3340.16</v>
      </c>
      <c r="Q19" s="9">
        <v>2254445.0</v>
      </c>
      <c r="R19" s="7">
        <v>1.48</v>
      </c>
      <c r="S19" s="7">
        <v>2782.0</v>
      </c>
      <c r="T19" s="7">
        <v>0.0</v>
      </c>
      <c r="U19" s="7">
        <v>0.0</v>
      </c>
      <c r="V19" s="7">
        <v>0.0</v>
      </c>
      <c r="W19" s="7">
        <v>54.0</v>
      </c>
      <c r="X19" s="7">
        <v>110.0</v>
      </c>
      <c r="Y19" s="10">
        <v>45491.0</v>
      </c>
      <c r="Z19" s="10">
        <v>2.42</v>
      </c>
      <c r="AA19" s="11">
        <v>0.0</v>
      </c>
      <c r="AB19" s="7"/>
      <c r="AC19" s="12"/>
      <c r="AD19" s="10"/>
    </row>
    <row r="20">
      <c r="A20" s="6">
        <v>44580.0</v>
      </c>
      <c r="B20" s="7">
        <f t="shared" si="1"/>
        <v>19</v>
      </c>
      <c r="C20" s="7">
        <f t="shared" si="2"/>
        <v>1</v>
      </c>
      <c r="D20" s="7">
        <v>5458.47</v>
      </c>
      <c r="E20" s="7">
        <v>4663.0</v>
      </c>
      <c r="F20" s="7">
        <v>3665.0</v>
      </c>
      <c r="G20" s="7">
        <v>8328.0</v>
      </c>
      <c r="H20" s="7">
        <v>93.37</v>
      </c>
      <c r="I20" s="7">
        <v>1337.0</v>
      </c>
      <c r="J20" s="7">
        <v>0.07</v>
      </c>
      <c r="K20" s="7">
        <v>639.0</v>
      </c>
      <c r="L20" s="7">
        <v>2001.71</v>
      </c>
      <c r="M20" s="7">
        <v>2248.0</v>
      </c>
      <c r="N20" s="7">
        <v>0.89</v>
      </c>
      <c r="O20" s="8">
        <v>1032.0</v>
      </c>
      <c r="P20" s="7">
        <v>3256.08</v>
      </c>
      <c r="Q20" s="9">
        <v>2284826.0</v>
      </c>
      <c r="R20" s="7">
        <v>1.43</v>
      </c>
      <c r="S20" s="7">
        <v>1995.0</v>
      </c>
      <c r="T20" s="7">
        <v>0.0</v>
      </c>
      <c r="U20" s="7">
        <v>0.0</v>
      </c>
      <c r="V20" s="7">
        <v>0.0</v>
      </c>
      <c r="W20" s="7">
        <v>34.0</v>
      </c>
      <c r="X20" s="7">
        <v>107.31</v>
      </c>
      <c r="Y20" s="10">
        <v>45598.0</v>
      </c>
      <c r="Z20" s="10">
        <v>2.35</v>
      </c>
      <c r="AA20" s="11">
        <v>0.0</v>
      </c>
      <c r="AB20" s="7"/>
      <c r="AC20" s="12"/>
      <c r="AD20" s="10"/>
    </row>
    <row r="21" ht="15.75" customHeight="1">
      <c r="A21" s="6">
        <v>44581.0</v>
      </c>
      <c r="B21" s="7">
        <f t="shared" si="1"/>
        <v>20</v>
      </c>
      <c r="C21" s="7">
        <f t="shared" si="2"/>
        <v>1</v>
      </c>
      <c r="D21" s="7">
        <v>4977.46</v>
      </c>
      <c r="E21" s="7">
        <v>3080.0</v>
      </c>
      <c r="F21" s="7">
        <v>6236.0</v>
      </c>
      <c r="G21" s="7">
        <v>9316.0</v>
      </c>
      <c r="H21" s="7">
        <v>86.51</v>
      </c>
      <c r="I21" s="7">
        <v>1270.0</v>
      </c>
      <c r="J21" s="7">
        <v>0.068</v>
      </c>
      <c r="K21" s="7">
        <v>938.0</v>
      </c>
      <c r="L21" s="7">
        <v>1795.14</v>
      </c>
      <c r="M21" s="7">
        <v>2085.0</v>
      </c>
      <c r="N21" s="7">
        <v>0.861</v>
      </c>
      <c r="O21" s="8">
        <v>1603.0</v>
      </c>
      <c r="P21" s="7">
        <v>2988.71</v>
      </c>
      <c r="Q21" s="9">
        <v>2220974.0</v>
      </c>
      <c r="R21" s="7">
        <v>1.35</v>
      </c>
      <c r="S21" s="7">
        <v>3679.0</v>
      </c>
      <c r="T21" s="7">
        <v>0.0</v>
      </c>
      <c r="U21" s="7">
        <v>0.0</v>
      </c>
      <c r="V21" s="7">
        <v>0.0</v>
      </c>
      <c r="W21" s="7">
        <v>50.0</v>
      </c>
      <c r="X21" s="7">
        <v>107.1</v>
      </c>
      <c r="Y21" s="10">
        <v>42707.0</v>
      </c>
      <c r="Z21" s="10">
        <v>2.51</v>
      </c>
      <c r="AA21" s="11">
        <v>0.0</v>
      </c>
      <c r="AB21" s="7"/>
      <c r="AC21" s="12"/>
      <c r="AD21" s="10"/>
    </row>
    <row r="22" ht="15.75" customHeight="1">
      <c r="A22" s="6">
        <v>44582.0</v>
      </c>
      <c r="B22" s="7">
        <f t="shared" si="1"/>
        <v>21</v>
      </c>
      <c r="C22" s="7">
        <f t="shared" si="2"/>
        <v>1</v>
      </c>
      <c r="D22" s="7">
        <v>4777.53</v>
      </c>
      <c r="E22" s="7">
        <v>3626.0</v>
      </c>
      <c r="F22" s="7">
        <v>6523.0</v>
      </c>
      <c r="G22" s="7">
        <v>10149.0</v>
      </c>
      <c r="H22" s="7">
        <v>75.0</v>
      </c>
      <c r="I22" s="7">
        <v>1278.0</v>
      </c>
      <c r="J22" s="7">
        <v>0.059</v>
      </c>
      <c r="K22" s="7">
        <v>1061.0</v>
      </c>
      <c r="L22" s="7">
        <v>1531.52</v>
      </c>
      <c r="M22" s="7">
        <v>1946.0</v>
      </c>
      <c r="N22" s="7">
        <v>0.787</v>
      </c>
      <c r="O22" s="8">
        <v>1636.0</v>
      </c>
      <c r="P22" s="7">
        <v>3064.86</v>
      </c>
      <c r="Q22" s="9">
        <v>2397760.0</v>
      </c>
      <c r="R22" s="7">
        <v>1.28</v>
      </c>
      <c r="S22" s="7">
        <v>3897.0</v>
      </c>
      <c r="T22" s="7">
        <v>0.0</v>
      </c>
      <c r="U22" s="7">
        <v>0.0</v>
      </c>
      <c r="V22" s="7">
        <v>0.0</v>
      </c>
      <c r="W22" s="7">
        <v>72.0</v>
      </c>
      <c r="X22" s="7">
        <v>106.15</v>
      </c>
      <c r="Y22" s="10">
        <v>37264.0</v>
      </c>
      <c r="Z22" s="10">
        <v>2.85</v>
      </c>
      <c r="AA22" s="11">
        <v>0.0</v>
      </c>
      <c r="AB22" s="7"/>
      <c r="AC22" s="12"/>
      <c r="AD22" s="10"/>
    </row>
    <row r="23" ht="15.75" customHeight="1">
      <c r="A23" s="6">
        <v>44583.0</v>
      </c>
      <c r="B23" s="7">
        <f t="shared" si="1"/>
        <v>22</v>
      </c>
      <c r="C23" s="7">
        <f t="shared" si="2"/>
        <v>1</v>
      </c>
      <c r="D23" s="7">
        <v>4990.3</v>
      </c>
      <c r="E23" s="7">
        <v>3120.0</v>
      </c>
      <c r="F23" s="7">
        <v>6660.0</v>
      </c>
      <c r="G23" s="7">
        <v>9780.0</v>
      </c>
      <c r="H23" s="7">
        <v>63.25</v>
      </c>
      <c r="I23" s="7">
        <v>1200.0</v>
      </c>
      <c r="J23" s="7">
        <v>0.053</v>
      </c>
      <c r="K23" s="7">
        <v>966.0</v>
      </c>
      <c r="L23" s="7">
        <v>1669.15</v>
      </c>
      <c r="M23" s="7">
        <v>2189.0</v>
      </c>
      <c r="N23" s="7">
        <v>0.763</v>
      </c>
      <c r="O23" s="8">
        <v>1741.0</v>
      </c>
      <c r="P23" s="7">
        <v>3148.29</v>
      </c>
      <c r="Q23" s="9">
        <v>2595563.0</v>
      </c>
      <c r="R23" s="7">
        <v>1.21</v>
      </c>
      <c r="S23" s="7">
        <v>3898.0</v>
      </c>
      <c r="T23" s="7">
        <v>0.0</v>
      </c>
      <c r="U23" s="7">
        <v>0.0</v>
      </c>
      <c r="V23" s="7">
        <v>0.0</v>
      </c>
      <c r="W23" s="7">
        <v>61.0</v>
      </c>
      <c r="X23" s="7">
        <v>109.61</v>
      </c>
      <c r="Y23" s="10">
        <v>39529.0</v>
      </c>
      <c r="Z23" s="10">
        <v>2.77</v>
      </c>
      <c r="AA23" s="11">
        <v>0.0</v>
      </c>
      <c r="AB23" s="7"/>
      <c r="AC23" s="12"/>
      <c r="AD23" s="10"/>
    </row>
    <row r="24" ht="15.75" customHeight="1">
      <c r="A24" s="6">
        <v>44584.0</v>
      </c>
      <c r="B24" s="7">
        <f t="shared" si="1"/>
        <v>23</v>
      </c>
      <c r="C24" s="7">
        <f t="shared" si="2"/>
        <v>1</v>
      </c>
      <c r="D24" s="7">
        <v>5644.46</v>
      </c>
      <c r="E24" s="7">
        <v>4782.0</v>
      </c>
      <c r="F24" s="7">
        <v>6703.0</v>
      </c>
      <c r="G24" s="7">
        <v>11485.0</v>
      </c>
      <c r="H24" s="7">
        <v>72.05</v>
      </c>
      <c r="I24" s="7">
        <v>1585.0</v>
      </c>
      <c r="J24" s="7">
        <v>0.045</v>
      </c>
      <c r="K24" s="7">
        <v>994.0</v>
      </c>
      <c r="L24" s="7">
        <v>2272.57</v>
      </c>
      <c r="M24" s="7">
        <v>2948.0</v>
      </c>
      <c r="N24" s="7">
        <v>0.771</v>
      </c>
      <c r="O24" s="8">
        <v>1956.0</v>
      </c>
      <c r="P24" s="7">
        <v>3191.58</v>
      </c>
      <c r="Q24" s="9">
        <v>2908266.0</v>
      </c>
      <c r="R24" s="7">
        <v>1.1</v>
      </c>
      <c r="S24" s="7">
        <v>3694.0</v>
      </c>
      <c r="T24" s="7">
        <v>0.0</v>
      </c>
      <c r="U24" s="7">
        <v>0.0</v>
      </c>
      <c r="V24" s="7">
        <v>0.0</v>
      </c>
      <c r="W24" s="7">
        <v>47.0</v>
      </c>
      <c r="X24" s="7">
        <v>108.26</v>
      </c>
      <c r="Y24" s="10">
        <v>50726.0</v>
      </c>
      <c r="Z24" s="10">
        <v>2.13</v>
      </c>
      <c r="AA24" s="11">
        <v>0.0</v>
      </c>
      <c r="AB24" s="7"/>
      <c r="AC24" s="12"/>
      <c r="AD24" s="10"/>
    </row>
    <row r="25" ht="15.75" customHeight="1">
      <c r="A25" s="6">
        <v>44585.0</v>
      </c>
      <c r="B25" s="7">
        <f t="shared" si="1"/>
        <v>24</v>
      </c>
      <c r="C25" s="7">
        <f t="shared" si="2"/>
        <v>1</v>
      </c>
      <c r="D25" s="7">
        <v>4959.98</v>
      </c>
      <c r="E25" s="7">
        <v>4419.0</v>
      </c>
      <c r="F25" s="7">
        <v>6624.0</v>
      </c>
      <c r="G25" s="7">
        <v>11043.0</v>
      </c>
      <c r="H25" s="7">
        <v>113.18</v>
      </c>
      <c r="I25" s="7">
        <v>1415.0</v>
      </c>
      <c r="J25" s="7">
        <v>0.08</v>
      </c>
      <c r="K25" s="7">
        <v>1181.0</v>
      </c>
      <c r="L25" s="7">
        <v>1867.21</v>
      </c>
      <c r="M25" s="7">
        <v>2309.0</v>
      </c>
      <c r="N25" s="7">
        <v>0.809</v>
      </c>
      <c r="O25" s="8">
        <v>1932.0</v>
      </c>
      <c r="P25" s="7">
        <v>2948.83</v>
      </c>
      <c r="Q25" s="9">
        <v>2665027.0</v>
      </c>
      <c r="R25" s="7">
        <v>1.11</v>
      </c>
      <c r="S25" s="7">
        <v>3548.0</v>
      </c>
      <c r="T25" s="7">
        <v>0.0</v>
      </c>
      <c r="U25" s="7">
        <v>0.0</v>
      </c>
      <c r="V25" s="7">
        <v>0.0</v>
      </c>
      <c r="W25" s="7">
        <v>51.0</v>
      </c>
      <c r="X25" s="7">
        <v>30.76</v>
      </c>
      <c r="Y25" s="10">
        <v>17452.0</v>
      </c>
      <c r="Z25" s="10">
        <v>1.76</v>
      </c>
      <c r="AA25" s="11">
        <v>0.0</v>
      </c>
      <c r="AB25" s="7"/>
      <c r="AC25" s="12"/>
      <c r="AD25" s="10"/>
    </row>
    <row r="26" ht="15.75" customHeight="1">
      <c r="A26" s="6">
        <v>44586.0</v>
      </c>
      <c r="B26" s="7">
        <f t="shared" si="1"/>
        <v>25</v>
      </c>
      <c r="C26" s="7">
        <f t="shared" si="2"/>
        <v>1</v>
      </c>
      <c r="D26" s="7">
        <v>4237.22</v>
      </c>
      <c r="E26" s="7">
        <v>3768.0</v>
      </c>
      <c r="F26" s="7">
        <v>6052.0</v>
      </c>
      <c r="G26" s="7">
        <v>9820.0</v>
      </c>
      <c r="H26" s="7">
        <v>80.07</v>
      </c>
      <c r="I26" s="7">
        <v>1276.0</v>
      </c>
      <c r="J26" s="7">
        <v>0.063</v>
      </c>
      <c r="K26" s="7">
        <v>1106.0</v>
      </c>
      <c r="L26" s="7">
        <v>1733.04</v>
      </c>
      <c r="M26" s="7">
        <v>2224.0</v>
      </c>
      <c r="N26" s="7">
        <v>0.779</v>
      </c>
      <c r="O26" s="8">
        <v>1831.0</v>
      </c>
      <c r="P26" s="7">
        <v>2372.01</v>
      </c>
      <c r="Q26" s="9">
        <v>2025362.0</v>
      </c>
      <c r="R26" s="7">
        <v>1.17</v>
      </c>
      <c r="S26" s="7">
        <v>3089.0</v>
      </c>
      <c r="T26" s="7">
        <v>52.1</v>
      </c>
      <c r="U26" s="7">
        <v>600.0</v>
      </c>
      <c r="V26" s="7">
        <v>0.09</v>
      </c>
      <c r="W26" s="7">
        <v>119.0</v>
      </c>
      <c r="X26" s="7">
        <v>0.0</v>
      </c>
      <c r="Y26" s="10">
        <v>0.0</v>
      </c>
      <c r="Z26" s="10">
        <v>0.0</v>
      </c>
      <c r="AA26" s="11">
        <v>0.0</v>
      </c>
      <c r="AB26" s="7"/>
      <c r="AC26" s="12"/>
      <c r="AD26" s="10"/>
    </row>
    <row r="27" ht="15.75" customHeight="1">
      <c r="A27" s="6">
        <v>44587.0</v>
      </c>
      <c r="B27" s="7">
        <f t="shared" si="1"/>
        <v>26</v>
      </c>
      <c r="C27" s="7">
        <f t="shared" si="2"/>
        <v>1</v>
      </c>
      <c r="D27" s="7">
        <v>4001.25</v>
      </c>
      <c r="E27" s="7">
        <v>3930.0</v>
      </c>
      <c r="F27" s="7">
        <v>5612.0</v>
      </c>
      <c r="G27" s="7">
        <v>9542.0</v>
      </c>
      <c r="H27" s="7">
        <v>69.9</v>
      </c>
      <c r="I27" s="7">
        <v>1298.0</v>
      </c>
      <c r="J27" s="7">
        <v>0.054</v>
      </c>
      <c r="K27" s="7">
        <v>1108.0</v>
      </c>
      <c r="L27" s="7">
        <v>1655.57</v>
      </c>
      <c r="M27" s="7">
        <v>2272.0</v>
      </c>
      <c r="N27" s="7">
        <v>0.729</v>
      </c>
      <c r="O27" s="8">
        <v>1851.0</v>
      </c>
      <c r="P27" s="7">
        <v>2136.63</v>
      </c>
      <c r="Q27" s="9">
        <v>1808726.0</v>
      </c>
      <c r="R27" s="7">
        <v>1.18</v>
      </c>
      <c r="S27" s="7">
        <v>2505.0</v>
      </c>
      <c r="T27" s="7">
        <v>139.15</v>
      </c>
      <c r="U27" s="7">
        <v>961.0</v>
      </c>
      <c r="V27" s="7">
        <v>0.14</v>
      </c>
      <c r="W27" s="7">
        <v>155.0</v>
      </c>
      <c r="X27" s="7">
        <v>0.0</v>
      </c>
      <c r="Y27" s="10">
        <v>0.0</v>
      </c>
      <c r="Z27" s="10">
        <v>0.0</v>
      </c>
      <c r="AA27" s="11">
        <v>0.0</v>
      </c>
      <c r="AB27" s="7"/>
      <c r="AC27" s="12"/>
      <c r="AD27" s="10"/>
    </row>
    <row r="28" ht="15.75" customHeight="1">
      <c r="A28" s="6">
        <v>44588.0</v>
      </c>
      <c r="B28" s="7">
        <f t="shared" si="1"/>
        <v>27</v>
      </c>
      <c r="C28" s="7">
        <f t="shared" si="2"/>
        <v>1</v>
      </c>
      <c r="D28" s="7">
        <v>4773.86</v>
      </c>
      <c r="E28" s="7">
        <v>4644.0</v>
      </c>
      <c r="F28" s="7">
        <v>6923.0</v>
      </c>
      <c r="G28" s="7">
        <v>11567.0</v>
      </c>
      <c r="H28" s="7">
        <v>86.97</v>
      </c>
      <c r="I28" s="7">
        <v>1648.0</v>
      </c>
      <c r="J28" s="7">
        <v>0.053</v>
      </c>
      <c r="K28" s="7">
        <v>1375.0</v>
      </c>
      <c r="L28" s="7">
        <v>1799.41</v>
      </c>
      <c r="M28" s="7">
        <v>2440.0</v>
      </c>
      <c r="N28" s="7">
        <v>0.737</v>
      </c>
      <c r="O28" s="8">
        <v>2022.0</v>
      </c>
      <c r="P28" s="7">
        <v>2709.12</v>
      </c>
      <c r="Q28" s="9">
        <v>2212216.0</v>
      </c>
      <c r="R28" s="7">
        <v>1.22</v>
      </c>
      <c r="S28" s="7">
        <v>3453.0</v>
      </c>
      <c r="T28" s="7">
        <v>178.36</v>
      </c>
      <c r="U28" s="7">
        <v>1790.0</v>
      </c>
      <c r="V28" s="7">
        <v>0.1</v>
      </c>
      <c r="W28" s="7">
        <v>166.0</v>
      </c>
      <c r="X28" s="7">
        <v>0.0</v>
      </c>
      <c r="Y28" s="10">
        <v>0.0</v>
      </c>
      <c r="Z28" s="10">
        <v>0.0</v>
      </c>
      <c r="AA28" s="11">
        <v>0.0</v>
      </c>
      <c r="AB28" s="7"/>
      <c r="AC28" s="12"/>
      <c r="AD28" s="10"/>
    </row>
    <row r="29" ht="15.75" customHeight="1">
      <c r="A29" s="6">
        <v>44589.0</v>
      </c>
      <c r="B29" s="7">
        <f t="shared" si="1"/>
        <v>28</v>
      </c>
      <c r="C29" s="7">
        <f t="shared" si="2"/>
        <v>1</v>
      </c>
      <c r="D29" s="7">
        <v>5078.11</v>
      </c>
      <c r="E29" s="7">
        <v>4286.0</v>
      </c>
      <c r="F29" s="7">
        <v>6903.0</v>
      </c>
      <c r="G29" s="7">
        <v>11189.0</v>
      </c>
      <c r="H29" s="7">
        <v>99.53</v>
      </c>
      <c r="I29" s="7">
        <v>1546.0</v>
      </c>
      <c r="J29" s="7">
        <v>0.064</v>
      </c>
      <c r="K29" s="7">
        <v>1322.0</v>
      </c>
      <c r="L29" s="7">
        <v>1737.69</v>
      </c>
      <c r="M29" s="7">
        <v>2232.0</v>
      </c>
      <c r="N29" s="7">
        <v>0.779</v>
      </c>
      <c r="O29" s="8">
        <v>1920.0</v>
      </c>
      <c r="P29" s="7">
        <v>3047.65</v>
      </c>
      <c r="Q29" s="9">
        <v>2267386.0</v>
      </c>
      <c r="R29" s="7">
        <v>1.34</v>
      </c>
      <c r="S29" s="7">
        <v>3476.0</v>
      </c>
      <c r="T29" s="7">
        <v>168.37</v>
      </c>
      <c r="U29" s="7">
        <v>1967.0</v>
      </c>
      <c r="V29" s="7">
        <v>0.09</v>
      </c>
      <c r="W29" s="7">
        <v>165.0</v>
      </c>
      <c r="X29" s="7">
        <v>24.87</v>
      </c>
      <c r="Y29" s="10">
        <v>9675.0</v>
      </c>
      <c r="Z29" s="10">
        <v>2.57</v>
      </c>
      <c r="AA29" s="11">
        <v>0.0</v>
      </c>
      <c r="AB29" s="7"/>
      <c r="AC29" s="12"/>
      <c r="AD29" s="10"/>
    </row>
    <row r="30" ht="15.75" customHeight="1">
      <c r="A30" s="6">
        <v>44590.0</v>
      </c>
      <c r="B30" s="7">
        <f t="shared" si="1"/>
        <v>29</v>
      </c>
      <c r="C30" s="7">
        <f t="shared" si="2"/>
        <v>1</v>
      </c>
      <c r="D30" s="7">
        <v>5544.7</v>
      </c>
      <c r="E30" s="7">
        <v>3668.0</v>
      </c>
      <c r="F30" s="7">
        <v>7811.0</v>
      </c>
      <c r="G30" s="7">
        <v>11479.0</v>
      </c>
      <c r="H30" s="7">
        <v>101.68</v>
      </c>
      <c r="I30" s="7">
        <v>1548.0</v>
      </c>
      <c r="J30" s="7">
        <v>0.066</v>
      </c>
      <c r="K30" s="7">
        <v>1247.0</v>
      </c>
      <c r="L30" s="7">
        <v>1891.0</v>
      </c>
      <c r="M30" s="7">
        <v>2574.0</v>
      </c>
      <c r="N30" s="7">
        <v>0.735</v>
      </c>
      <c r="O30" s="8">
        <v>2058.0</v>
      </c>
      <c r="P30" s="7">
        <v>3403.82</v>
      </c>
      <c r="Q30" s="9">
        <v>2589329.0</v>
      </c>
      <c r="R30" s="7">
        <v>1.31</v>
      </c>
      <c r="S30" s="7">
        <v>4278.0</v>
      </c>
      <c r="T30" s="7">
        <v>118.2</v>
      </c>
      <c r="U30" s="7">
        <v>1340.0</v>
      </c>
      <c r="V30" s="7">
        <v>0.09</v>
      </c>
      <c r="W30" s="7">
        <v>204.0</v>
      </c>
      <c r="X30" s="7">
        <v>30.0</v>
      </c>
      <c r="Y30" s="10">
        <v>7097.0</v>
      </c>
      <c r="Z30" s="10">
        <v>4.23</v>
      </c>
      <c r="AA30" s="11">
        <v>0.0</v>
      </c>
      <c r="AB30" s="7"/>
      <c r="AC30" s="12"/>
      <c r="AD30" s="10"/>
    </row>
    <row r="31" ht="15.75" customHeight="1">
      <c r="A31" s="6">
        <v>44591.0</v>
      </c>
      <c r="B31" s="7">
        <f t="shared" si="1"/>
        <v>30</v>
      </c>
      <c r="C31" s="7">
        <f t="shared" si="2"/>
        <v>1</v>
      </c>
      <c r="D31" s="7">
        <v>5956.95</v>
      </c>
      <c r="E31" s="7">
        <v>4118.0</v>
      </c>
      <c r="F31" s="7">
        <v>9191.0</v>
      </c>
      <c r="G31" s="7">
        <v>13309.0</v>
      </c>
      <c r="H31" s="7">
        <v>91.35</v>
      </c>
      <c r="I31" s="7">
        <v>1905.0</v>
      </c>
      <c r="J31" s="7">
        <v>0.048</v>
      </c>
      <c r="K31" s="7">
        <v>1476.0</v>
      </c>
      <c r="L31" s="7">
        <v>2499.92</v>
      </c>
      <c r="M31" s="7">
        <v>3644.0</v>
      </c>
      <c r="N31" s="7">
        <v>0.686</v>
      </c>
      <c r="O31" s="8">
        <v>2871.0</v>
      </c>
      <c r="P31" s="7">
        <v>3229.83</v>
      </c>
      <c r="Q31" s="9">
        <v>2961326.0</v>
      </c>
      <c r="R31" s="7">
        <v>1.09</v>
      </c>
      <c r="S31" s="7">
        <v>4710.0</v>
      </c>
      <c r="T31" s="7">
        <v>105.85</v>
      </c>
      <c r="U31" s="7">
        <v>1163.0</v>
      </c>
      <c r="V31" s="7">
        <v>0.09</v>
      </c>
      <c r="W31" s="7">
        <v>194.0</v>
      </c>
      <c r="X31" s="7">
        <v>30.0</v>
      </c>
      <c r="Y31" s="10">
        <v>8212.0</v>
      </c>
      <c r="Z31" s="10">
        <v>3.65</v>
      </c>
      <c r="AA31" s="11">
        <v>0.0</v>
      </c>
      <c r="AB31" s="7"/>
      <c r="AC31" s="12"/>
      <c r="AD31" s="10"/>
    </row>
    <row r="32" ht="15.75" customHeight="1">
      <c r="A32" s="6">
        <v>44592.0</v>
      </c>
      <c r="B32" s="7">
        <f t="shared" si="1"/>
        <v>31</v>
      </c>
      <c r="C32" s="7">
        <f t="shared" si="2"/>
        <v>1</v>
      </c>
      <c r="D32" s="7">
        <v>5615.19</v>
      </c>
      <c r="E32" s="7">
        <v>4954.0</v>
      </c>
      <c r="F32" s="7">
        <v>8600.0</v>
      </c>
      <c r="G32" s="7">
        <v>13554.0</v>
      </c>
      <c r="H32" s="7">
        <v>110.63</v>
      </c>
      <c r="I32" s="7">
        <v>1907.0</v>
      </c>
      <c r="J32" s="7">
        <v>0.058</v>
      </c>
      <c r="K32" s="7">
        <v>1621.0</v>
      </c>
      <c r="L32" s="7">
        <v>2309.33</v>
      </c>
      <c r="M32" s="7">
        <v>3003.0</v>
      </c>
      <c r="N32" s="7">
        <v>0.769</v>
      </c>
      <c r="O32" s="8">
        <v>2486.0</v>
      </c>
      <c r="P32" s="7">
        <v>3053.89</v>
      </c>
      <c r="Q32" s="9">
        <v>2605114.0</v>
      </c>
      <c r="R32" s="7">
        <v>1.17</v>
      </c>
      <c r="S32" s="7">
        <v>4304.0</v>
      </c>
      <c r="T32" s="7">
        <v>111.34</v>
      </c>
      <c r="U32" s="7">
        <v>1149.0</v>
      </c>
      <c r="V32" s="7">
        <v>0.1</v>
      </c>
      <c r="W32" s="7">
        <v>202.0</v>
      </c>
      <c r="X32" s="7">
        <v>30.0</v>
      </c>
      <c r="Y32" s="10">
        <v>8494.0</v>
      </c>
      <c r="Z32" s="10">
        <v>3.53</v>
      </c>
      <c r="AA32" s="11">
        <v>0.0</v>
      </c>
      <c r="AB32" s="7"/>
      <c r="AC32" s="12"/>
      <c r="AD32" s="10"/>
    </row>
    <row r="33" ht="15.75" customHeight="1">
      <c r="A33" s="6">
        <v>44593.0</v>
      </c>
      <c r="B33" s="7">
        <f t="shared" si="1"/>
        <v>1</v>
      </c>
      <c r="C33" s="7">
        <f t="shared" si="2"/>
        <v>2</v>
      </c>
      <c r="D33" s="7">
        <v>5686.94</v>
      </c>
      <c r="E33" s="7">
        <v>6919.0</v>
      </c>
      <c r="F33" s="7">
        <v>6217.0</v>
      </c>
      <c r="G33" s="7">
        <v>13136.0</v>
      </c>
      <c r="H33" s="7">
        <v>123.47</v>
      </c>
      <c r="I33" s="7">
        <v>2038.0</v>
      </c>
      <c r="J33" s="7">
        <v>0.061</v>
      </c>
      <c r="K33" s="7">
        <v>1329.0</v>
      </c>
      <c r="L33" s="7">
        <v>2315.37</v>
      </c>
      <c r="M33" s="7">
        <v>2979.0</v>
      </c>
      <c r="N33" s="7">
        <v>0.777</v>
      </c>
      <c r="O33" s="8">
        <v>1845.0</v>
      </c>
      <c r="P33" s="7">
        <v>3092.21</v>
      </c>
      <c r="Q33" s="9">
        <v>2856644.0</v>
      </c>
      <c r="R33" s="7">
        <v>1.08</v>
      </c>
      <c r="S33" s="7">
        <v>2908.0</v>
      </c>
      <c r="T33" s="7">
        <v>105.89</v>
      </c>
      <c r="U33" s="7">
        <v>1199.0</v>
      </c>
      <c r="V33" s="7">
        <v>0.09</v>
      </c>
      <c r="W33" s="7">
        <v>185.0</v>
      </c>
      <c r="X33" s="7">
        <v>50.0</v>
      </c>
      <c r="Y33" s="10">
        <v>25805.0</v>
      </c>
      <c r="Z33" s="10">
        <v>1.94</v>
      </c>
      <c r="AA33" s="11">
        <v>0.0</v>
      </c>
      <c r="AB33" s="7"/>
      <c r="AC33" s="12"/>
      <c r="AD33" s="10"/>
    </row>
    <row r="34" ht="15.75" customHeight="1">
      <c r="A34" s="6">
        <v>44594.0</v>
      </c>
      <c r="B34" s="7">
        <f t="shared" si="1"/>
        <v>2</v>
      </c>
      <c r="C34" s="7">
        <f t="shared" si="2"/>
        <v>2</v>
      </c>
      <c r="D34" s="7">
        <v>5203.03</v>
      </c>
      <c r="E34" s="7">
        <v>4399.0</v>
      </c>
      <c r="F34" s="7">
        <v>7158.0</v>
      </c>
      <c r="G34" s="7">
        <v>11557.0</v>
      </c>
      <c r="H34" s="7">
        <v>111.35</v>
      </c>
      <c r="I34" s="7">
        <v>1823.0</v>
      </c>
      <c r="J34" s="7">
        <v>0.061</v>
      </c>
      <c r="K34" s="7">
        <v>1569.0</v>
      </c>
      <c r="L34" s="7">
        <v>2063.91</v>
      </c>
      <c r="M34" s="7">
        <v>2609.0</v>
      </c>
      <c r="N34" s="7">
        <v>0.791</v>
      </c>
      <c r="O34" s="8">
        <v>2079.0</v>
      </c>
      <c r="P34" s="7">
        <v>2873.35</v>
      </c>
      <c r="Q34" s="9">
        <v>2366614.0</v>
      </c>
      <c r="R34" s="7">
        <v>1.21</v>
      </c>
      <c r="S34" s="7">
        <v>3288.0</v>
      </c>
      <c r="T34" s="7">
        <v>104.42</v>
      </c>
      <c r="U34" s="7">
        <v>1242.0</v>
      </c>
      <c r="V34" s="7">
        <v>0.08</v>
      </c>
      <c r="W34" s="7">
        <v>201.0</v>
      </c>
      <c r="X34" s="7">
        <v>50.0</v>
      </c>
      <c r="Y34" s="10">
        <v>23201.0</v>
      </c>
      <c r="Z34" s="10">
        <v>2.16</v>
      </c>
      <c r="AA34" s="11">
        <v>0.0</v>
      </c>
      <c r="AB34" s="7"/>
      <c r="AC34" s="12"/>
      <c r="AD34" s="10"/>
    </row>
    <row r="35" ht="15.75" customHeight="1">
      <c r="A35" s="6">
        <v>44595.0</v>
      </c>
      <c r="B35" s="7">
        <f t="shared" si="1"/>
        <v>3</v>
      </c>
      <c r="C35" s="7">
        <f t="shared" si="2"/>
        <v>2</v>
      </c>
      <c r="D35" s="7">
        <v>6264.25</v>
      </c>
      <c r="E35" s="7">
        <v>5534.0</v>
      </c>
      <c r="F35" s="7">
        <v>8333.0</v>
      </c>
      <c r="G35" s="7">
        <v>13867.0</v>
      </c>
      <c r="H35" s="7">
        <v>141.23</v>
      </c>
      <c r="I35" s="7">
        <v>2058.0</v>
      </c>
      <c r="J35" s="7">
        <v>0.069</v>
      </c>
      <c r="K35" s="7">
        <v>1751.0</v>
      </c>
      <c r="L35" s="7">
        <v>2000.37</v>
      </c>
      <c r="M35" s="7">
        <v>2461.0</v>
      </c>
      <c r="N35" s="7">
        <v>0.813</v>
      </c>
      <c r="O35" s="8">
        <v>2080.0</v>
      </c>
      <c r="P35" s="7">
        <v>3968.67</v>
      </c>
      <c r="Q35" s="9">
        <v>2937059.0</v>
      </c>
      <c r="R35" s="7">
        <v>1.35</v>
      </c>
      <c r="S35" s="7">
        <v>4429.0</v>
      </c>
      <c r="T35" s="7">
        <v>104.36</v>
      </c>
      <c r="U35" s="7">
        <v>1168.0</v>
      </c>
      <c r="V35" s="7">
        <v>0.09</v>
      </c>
      <c r="W35" s="7">
        <v>206.0</v>
      </c>
      <c r="X35" s="7">
        <v>49.62</v>
      </c>
      <c r="Y35" s="10">
        <v>20452.0</v>
      </c>
      <c r="Z35" s="10">
        <v>2.43</v>
      </c>
      <c r="AA35" s="11">
        <v>0.0</v>
      </c>
      <c r="AB35" s="7"/>
      <c r="AC35" s="12"/>
      <c r="AD35" s="10"/>
    </row>
    <row r="36" ht="15.75" customHeight="1">
      <c r="A36" s="6">
        <v>44596.0</v>
      </c>
      <c r="B36" s="7">
        <f t="shared" si="1"/>
        <v>4</v>
      </c>
      <c r="C36" s="7">
        <f t="shared" si="2"/>
        <v>2</v>
      </c>
      <c r="D36" s="7">
        <v>6234.63</v>
      </c>
      <c r="E36" s="7">
        <v>4934.0</v>
      </c>
      <c r="F36" s="7">
        <v>8081.0</v>
      </c>
      <c r="G36" s="7">
        <v>13015.0</v>
      </c>
      <c r="H36" s="7">
        <v>120.89</v>
      </c>
      <c r="I36" s="7">
        <v>1924.0</v>
      </c>
      <c r="J36" s="7">
        <v>0.063</v>
      </c>
      <c r="K36" s="7">
        <v>1593.0</v>
      </c>
      <c r="L36" s="7">
        <v>1932.05</v>
      </c>
      <c r="M36" s="7">
        <v>2451.0</v>
      </c>
      <c r="N36" s="7">
        <v>0.788</v>
      </c>
      <c r="O36" s="8">
        <v>2025.0</v>
      </c>
      <c r="P36" s="7">
        <v>4031.72</v>
      </c>
      <c r="Q36" s="9">
        <v>2855953.0</v>
      </c>
      <c r="R36" s="7">
        <v>1.41</v>
      </c>
      <c r="S36" s="7">
        <v>4223.0</v>
      </c>
      <c r="T36" s="7">
        <v>103.67</v>
      </c>
      <c r="U36" s="7">
        <v>1162.0</v>
      </c>
      <c r="V36" s="7">
        <v>0.09</v>
      </c>
      <c r="W36" s="7">
        <v>178.0</v>
      </c>
      <c r="X36" s="7">
        <v>46.3</v>
      </c>
      <c r="Y36" s="10">
        <v>17720.0</v>
      </c>
      <c r="Z36" s="10">
        <v>2.61</v>
      </c>
      <c r="AA36" s="11">
        <v>0.0</v>
      </c>
      <c r="AB36" s="7"/>
      <c r="AC36" s="12"/>
      <c r="AD36" s="10"/>
    </row>
    <row r="37" ht="15.75" customHeight="1">
      <c r="A37" s="6">
        <v>44597.0</v>
      </c>
      <c r="B37" s="7">
        <f t="shared" si="1"/>
        <v>5</v>
      </c>
      <c r="C37" s="7">
        <f t="shared" si="2"/>
        <v>2</v>
      </c>
      <c r="D37" s="7">
        <v>6726.5</v>
      </c>
      <c r="E37" s="7">
        <v>4894.0</v>
      </c>
      <c r="F37" s="7">
        <v>8333.0</v>
      </c>
      <c r="G37" s="7">
        <v>13227.0</v>
      </c>
      <c r="H37" s="7">
        <v>129.18</v>
      </c>
      <c r="I37" s="7">
        <v>2016.0</v>
      </c>
      <c r="J37" s="7">
        <v>0.064</v>
      </c>
      <c r="K37" s="7">
        <v>1638.0</v>
      </c>
      <c r="L37" s="7">
        <v>2144.56</v>
      </c>
      <c r="M37" s="7">
        <v>2871.0</v>
      </c>
      <c r="N37" s="7">
        <v>0.747</v>
      </c>
      <c r="O37" s="8">
        <v>2259.0</v>
      </c>
      <c r="P37" s="7">
        <v>4349.08</v>
      </c>
      <c r="Q37" s="9">
        <v>3401123.0</v>
      </c>
      <c r="R37" s="7">
        <v>1.28</v>
      </c>
      <c r="S37" s="7">
        <v>4291.0</v>
      </c>
      <c r="T37" s="7">
        <v>103.68</v>
      </c>
      <c r="U37" s="7">
        <v>1504.0</v>
      </c>
      <c r="V37" s="7">
        <v>0.07</v>
      </c>
      <c r="W37" s="7">
        <v>206.0</v>
      </c>
      <c r="X37" s="7">
        <v>0.0</v>
      </c>
      <c r="Y37" s="10">
        <v>0.0</v>
      </c>
      <c r="Z37" s="10">
        <v>0.0</v>
      </c>
      <c r="AA37" s="11">
        <v>0.0</v>
      </c>
      <c r="AB37" s="7"/>
      <c r="AC37" s="12"/>
      <c r="AD37" s="10"/>
    </row>
    <row r="38" ht="15.75" customHeight="1">
      <c r="A38" s="6">
        <v>44598.0</v>
      </c>
      <c r="B38" s="7">
        <f t="shared" si="1"/>
        <v>6</v>
      </c>
      <c r="C38" s="7">
        <f t="shared" si="2"/>
        <v>2</v>
      </c>
      <c r="D38" s="7">
        <v>6028.64</v>
      </c>
      <c r="E38" s="7">
        <v>4707.0</v>
      </c>
      <c r="F38" s="7">
        <v>8868.0</v>
      </c>
      <c r="G38" s="7">
        <v>13575.0</v>
      </c>
      <c r="H38" s="7">
        <v>134.98</v>
      </c>
      <c r="I38" s="7">
        <v>2107.0</v>
      </c>
      <c r="J38" s="7">
        <v>0.064</v>
      </c>
      <c r="K38" s="7">
        <v>1730.0</v>
      </c>
      <c r="L38" s="7">
        <v>2674.73</v>
      </c>
      <c r="M38" s="7">
        <v>3748.0</v>
      </c>
      <c r="N38" s="7">
        <v>0.714</v>
      </c>
      <c r="O38" s="8">
        <v>2935.0</v>
      </c>
      <c r="P38" s="7">
        <v>3114.54</v>
      </c>
      <c r="Q38" s="9">
        <v>3173780.0</v>
      </c>
      <c r="R38" s="7">
        <v>0.98</v>
      </c>
      <c r="S38" s="7">
        <v>4150.0</v>
      </c>
      <c r="T38" s="7">
        <v>104.39</v>
      </c>
      <c r="U38" s="7">
        <v>1514.0</v>
      </c>
      <c r="V38" s="7">
        <v>0.07</v>
      </c>
      <c r="W38" s="7">
        <v>239.0</v>
      </c>
      <c r="X38" s="7">
        <v>0.0</v>
      </c>
      <c r="Y38" s="10">
        <v>0.0</v>
      </c>
      <c r="Z38" s="10">
        <v>0.0</v>
      </c>
      <c r="AA38" s="11">
        <v>0.0</v>
      </c>
      <c r="AB38" s="7"/>
      <c r="AC38" s="12"/>
      <c r="AD38" s="10"/>
    </row>
    <row r="39" ht="15.75" customHeight="1">
      <c r="A39" s="6">
        <v>44599.0</v>
      </c>
      <c r="B39" s="7">
        <f t="shared" si="1"/>
        <v>7</v>
      </c>
      <c r="C39" s="7">
        <f t="shared" si="2"/>
        <v>2</v>
      </c>
      <c r="D39" s="7">
        <v>5623.63</v>
      </c>
      <c r="E39" s="7">
        <v>7670.0</v>
      </c>
      <c r="F39" s="7">
        <v>5318.0</v>
      </c>
      <c r="G39" s="7">
        <v>12988.0</v>
      </c>
      <c r="H39" s="7">
        <v>176.83</v>
      </c>
      <c r="I39" s="7">
        <v>2262.0</v>
      </c>
      <c r="J39" s="7">
        <v>0.078</v>
      </c>
      <c r="K39" s="7">
        <v>1232.0</v>
      </c>
      <c r="L39" s="7">
        <v>2547.61</v>
      </c>
      <c r="M39" s="7">
        <v>3187.0</v>
      </c>
      <c r="N39" s="7">
        <v>0.799</v>
      </c>
      <c r="O39" s="8">
        <v>1701.0</v>
      </c>
      <c r="P39" s="7">
        <v>2753.08</v>
      </c>
      <c r="Q39" s="9">
        <v>2611372.0</v>
      </c>
      <c r="R39" s="7">
        <v>1.05</v>
      </c>
      <c r="S39" s="7">
        <v>2272.0</v>
      </c>
      <c r="T39" s="7">
        <v>107.31</v>
      </c>
      <c r="U39" s="7">
        <v>1600.0</v>
      </c>
      <c r="V39" s="7">
        <v>0.07</v>
      </c>
      <c r="W39" s="7">
        <v>175.0</v>
      </c>
      <c r="X39" s="7">
        <v>38.8</v>
      </c>
      <c r="Y39" s="10">
        <v>11864.0</v>
      </c>
      <c r="Z39" s="10">
        <v>3.27</v>
      </c>
      <c r="AA39" s="11">
        <v>0.0</v>
      </c>
      <c r="AB39" s="7"/>
      <c r="AC39" s="12"/>
      <c r="AD39" s="10"/>
    </row>
    <row r="40" ht="15.75" customHeight="1">
      <c r="A40" s="6">
        <v>44600.0</v>
      </c>
      <c r="B40" s="7">
        <f t="shared" si="1"/>
        <v>8</v>
      </c>
      <c r="C40" s="7">
        <f t="shared" si="2"/>
        <v>2</v>
      </c>
      <c r="D40" s="7">
        <v>5513.02</v>
      </c>
      <c r="E40" s="7">
        <v>5396.0</v>
      </c>
      <c r="F40" s="7">
        <v>7872.0</v>
      </c>
      <c r="G40" s="7">
        <v>13268.0</v>
      </c>
      <c r="H40" s="7">
        <v>153.94</v>
      </c>
      <c r="I40" s="7">
        <v>2346.0</v>
      </c>
      <c r="J40" s="7">
        <v>0.066</v>
      </c>
      <c r="K40" s="7">
        <v>1951.0</v>
      </c>
      <c r="L40" s="7">
        <v>2497.83</v>
      </c>
      <c r="M40" s="7">
        <v>3052.0</v>
      </c>
      <c r="N40" s="7">
        <v>0.818</v>
      </c>
      <c r="O40" s="8">
        <v>2552.0</v>
      </c>
      <c r="P40" s="7">
        <v>2717.11</v>
      </c>
      <c r="Q40" s="9">
        <v>2255177.0</v>
      </c>
      <c r="R40" s="7">
        <v>1.2</v>
      </c>
      <c r="S40" s="7">
        <v>3099.0</v>
      </c>
      <c r="T40" s="7">
        <v>104.74</v>
      </c>
      <c r="U40" s="7">
        <v>1502.0</v>
      </c>
      <c r="V40" s="7">
        <v>0.07</v>
      </c>
      <c r="W40" s="7">
        <v>233.0</v>
      </c>
      <c r="X40" s="7">
        <v>39.4</v>
      </c>
      <c r="Y40" s="10">
        <v>9583.0</v>
      </c>
      <c r="Z40" s="10">
        <v>4.11</v>
      </c>
      <c r="AA40" s="11">
        <v>0.0</v>
      </c>
      <c r="AB40" s="7"/>
      <c r="AC40" s="12"/>
      <c r="AD40" s="10"/>
    </row>
    <row r="41" ht="15.75" customHeight="1">
      <c r="A41" s="6">
        <v>44601.0</v>
      </c>
      <c r="B41" s="7">
        <f t="shared" si="1"/>
        <v>9</v>
      </c>
      <c r="C41" s="7">
        <f t="shared" si="2"/>
        <v>2</v>
      </c>
      <c r="D41" s="7">
        <v>5081.99</v>
      </c>
      <c r="E41" s="7">
        <v>6025.0</v>
      </c>
      <c r="F41" s="7">
        <v>6967.0</v>
      </c>
      <c r="G41" s="7">
        <v>12992.0</v>
      </c>
      <c r="H41" s="7">
        <v>161.16</v>
      </c>
      <c r="I41" s="7">
        <v>2250.0</v>
      </c>
      <c r="J41" s="7">
        <v>0.072</v>
      </c>
      <c r="K41" s="7">
        <v>1752.0</v>
      </c>
      <c r="L41" s="7">
        <v>2436.43</v>
      </c>
      <c r="M41" s="7">
        <v>3078.0</v>
      </c>
      <c r="N41" s="7">
        <v>0.792</v>
      </c>
      <c r="O41" s="8">
        <v>2363.0</v>
      </c>
      <c r="P41" s="7">
        <v>2340.15</v>
      </c>
      <c r="Q41" s="9">
        <v>1821624.0</v>
      </c>
      <c r="R41" s="7">
        <v>1.28</v>
      </c>
      <c r="S41" s="7">
        <v>2688.0</v>
      </c>
      <c r="T41" s="7">
        <v>104.56</v>
      </c>
      <c r="U41" s="7">
        <v>1501.0</v>
      </c>
      <c r="V41" s="7">
        <v>0.07</v>
      </c>
      <c r="W41" s="7">
        <v>223.0</v>
      </c>
      <c r="X41" s="7">
        <v>39.69</v>
      </c>
      <c r="Y41" s="10">
        <v>8336.0</v>
      </c>
      <c r="Z41" s="10">
        <v>4.76</v>
      </c>
      <c r="AA41" s="11">
        <v>0.0</v>
      </c>
      <c r="AB41" s="7"/>
      <c r="AC41" s="12"/>
      <c r="AD41" s="10"/>
    </row>
    <row r="42" ht="15.75" customHeight="1">
      <c r="A42" s="6">
        <v>44602.0</v>
      </c>
      <c r="B42" s="7">
        <f t="shared" si="1"/>
        <v>10</v>
      </c>
      <c r="C42" s="7">
        <f t="shared" si="2"/>
        <v>2</v>
      </c>
      <c r="D42" s="7">
        <v>4686.15</v>
      </c>
      <c r="E42" s="7">
        <v>5530.0</v>
      </c>
      <c r="F42" s="7">
        <v>6918.0</v>
      </c>
      <c r="G42" s="7">
        <v>12448.0</v>
      </c>
      <c r="H42" s="7">
        <v>134.06</v>
      </c>
      <c r="I42" s="7">
        <v>2191.0</v>
      </c>
      <c r="J42" s="7">
        <v>0.061</v>
      </c>
      <c r="K42" s="7">
        <v>1913.0</v>
      </c>
      <c r="L42" s="7">
        <v>2204.95</v>
      </c>
      <c r="M42" s="7">
        <v>2887.0</v>
      </c>
      <c r="N42" s="7">
        <v>0.764</v>
      </c>
      <c r="O42" s="8">
        <v>2439.0</v>
      </c>
      <c r="P42" s="7">
        <v>2203.22</v>
      </c>
      <c r="Q42" s="9">
        <v>1557180.0</v>
      </c>
      <c r="R42" s="7">
        <v>1.41</v>
      </c>
      <c r="S42" s="7">
        <v>2534.0</v>
      </c>
      <c r="T42" s="7">
        <v>104.14</v>
      </c>
      <c r="U42" s="7">
        <v>1700.0</v>
      </c>
      <c r="V42" s="7">
        <v>0.06</v>
      </c>
      <c r="W42" s="7">
        <v>235.0</v>
      </c>
      <c r="X42" s="7">
        <v>39.78</v>
      </c>
      <c r="Y42" s="10">
        <v>8546.0</v>
      </c>
      <c r="Z42" s="10">
        <v>4.65</v>
      </c>
      <c r="AA42" s="11">
        <v>0.0</v>
      </c>
      <c r="AB42" s="7"/>
      <c r="AC42" s="12"/>
      <c r="AD42" s="10"/>
    </row>
    <row r="43" ht="15.75" customHeight="1">
      <c r="A43" s="6">
        <v>44603.0</v>
      </c>
      <c r="B43" s="7">
        <f t="shared" si="1"/>
        <v>11</v>
      </c>
      <c r="C43" s="7">
        <f t="shared" si="2"/>
        <v>2</v>
      </c>
      <c r="D43" s="7">
        <v>4499.83</v>
      </c>
      <c r="E43" s="7">
        <v>4906.0</v>
      </c>
      <c r="F43" s="7">
        <v>6188.0</v>
      </c>
      <c r="G43" s="7">
        <v>11094.0</v>
      </c>
      <c r="H43" s="7">
        <v>148.53</v>
      </c>
      <c r="I43" s="7">
        <v>2056.0</v>
      </c>
      <c r="J43" s="7">
        <v>0.072</v>
      </c>
      <c r="K43" s="7">
        <v>1825.0</v>
      </c>
      <c r="L43" s="7">
        <v>2113.12</v>
      </c>
      <c r="M43" s="7">
        <v>2820.0</v>
      </c>
      <c r="N43" s="7">
        <v>0.749</v>
      </c>
      <c r="O43" s="8">
        <v>2383.0</v>
      </c>
      <c r="P43" s="7">
        <v>2067.1</v>
      </c>
      <c r="Q43" s="9">
        <v>1319493.0</v>
      </c>
      <c r="R43" s="7">
        <v>1.57</v>
      </c>
      <c r="S43" s="7">
        <v>2031.0</v>
      </c>
      <c r="T43" s="7">
        <v>103.26</v>
      </c>
      <c r="U43" s="7">
        <v>1730.0</v>
      </c>
      <c r="V43" s="7">
        <v>0.06</v>
      </c>
      <c r="W43" s="7">
        <v>218.0</v>
      </c>
      <c r="X43" s="7">
        <v>67.82</v>
      </c>
      <c r="Y43" s="10">
        <v>22768.0</v>
      </c>
      <c r="Z43" s="10">
        <v>2.98</v>
      </c>
      <c r="AA43" s="11">
        <v>0.0</v>
      </c>
      <c r="AB43" s="7"/>
      <c r="AC43" s="12"/>
      <c r="AD43" s="10"/>
    </row>
    <row r="44" ht="15.75" customHeight="1">
      <c r="A44" s="6">
        <v>44604.0</v>
      </c>
      <c r="B44" s="7">
        <f t="shared" si="1"/>
        <v>12</v>
      </c>
      <c r="C44" s="7">
        <f t="shared" si="2"/>
        <v>2</v>
      </c>
      <c r="D44" s="7">
        <v>4826.47</v>
      </c>
      <c r="E44" s="7">
        <v>4577.0</v>
      </c>
      <c r="F44" s="7">
        <v>7185.0</v>
      </c>
      <c r="G44" s="7">
        <v>11762.0</v>
      </c>
      <c r="H44" s="7">
        <v>136.39</v>
      </c>
      <c r="I44" s="7">
        <v>2136.0</v>
      </c>
      <c r="J44" s="7">
        <v>0.064</v>
      </c>
      <c r="K44" s="7">
        <v>1761.0</v>
      </c>
      <c r="L44" s="7">
        <v>2271.01</v>
      </c>
      <c r="M44" s="7">
        <v>3287.0</v>
      </c>
      <c r="N44" s="7">
        <v>0.691</v>
      </c>
      <c r="O44" s="8">
        <v>2583.0</v>
      </c>
      <c r="P44" s="7">
        <v>2271.89</v>
      </c>
      <c r="Q44" s="9">
        <v>1480665.0</v>
      </c>
      <c r="R44" s="7">
        <v>1.53</v>
      </c>
      <c r="S44" s="7">
        <v>2654.0</v>
      </c>
      <c r="T44" s="7">
        <v>104.35</v>
      </c>
      <c r="U44" s="7">
        <v>1789.0</v>
      </c>
      <c r="V44" s="7">
        <v>0.06</v>
      </c>
      <c r="W44" s="7">
        <v>223.0</v>
      </c>
      <c r="X44" s="7">
        <v>42.83</v>
      </c>
      <c r="Y44" s="10">
        <v>12261.0</v>
      </c>
      <c r="Z44" s="10">
        <v>3.49</v>
      </c>
      <c r="AA44" s="11">
        <v>0.0</v>
      </c>
      <c r="AB44" s="7"/>
      <c r="AC44" s="12"/>
      <c r="AD44" s="10"/>
    </row>
    <row r="45" ht="15.75" customHeight="1">
      <c r="A45" s="6">
        <v>44605.0</v>
      </c>
      <c r="B45" s="7">
        <f t="shared" si="1"/>
        <v>13</v>
      </c>
      <c r="C45" s="7">
        <f t="shared" si="2"/>
        <v>2</v>
      </c>
      <c r="D45" s="7">
        <v>5481.23</v>
      </c>
      <c r="E45" s="7">
        <v>5236.0</v>
      </c>
      <c r="F45" s="7">
        <v>8799.0</v>
      </c>
      <c r="G45" s="7">
        <v>14035.0</v>
      </c>
      <c r="H45" s="7">
        <v>152.88</v>
      </c>
      <c r="I45" s="7">
        <v>2468.0</v>
      </c>
      <c r="J45" s="7">
        <v>0.062</v>
      </c>
      <c r="K45" s="7">
        <v>2017.0</v>
      </c>
      <c r="L45" s="7">
        <v>2696.56</v>
      </c>
      <c r="M45" s="7">
        <v>4174.0</v>
      </c>
      <c r="N45" s="7">
        <v>0.646</v>
      </c>
      <c r="O45" s="8">
        <v>3430.0</v>
      </c>
      <c r="P45" s="7">
        <v>2486.64</v>
      </c>
      <c r="Q45" s="9">
        <v>1929628.0</v>
      </c>
      <c r="R45" s="7">
        <v>1.29</v>
      </c>
      <c r="S45" s="7">
        <v>3139.0</v>
      </c>
      <c r="T45" s="7">
        <v>103.87</v>
      </c>
      <c r="U45" s="7">
        <v>1768.0</v>
      </c>
      <c r="V45" s="7">
        <v>0.06</v>
      </c>
      <c r="W45" s="7">
        <v>235.0</v>
      </c>
      <c r="X45" s="7">
        <v>41.28</v>
      </c>
      <c r="Y45" s="10">
        <v>16517.0</v>
      </c>
      <c r="Z45" s="10">
        <v>2.5</v>
      </c>
      <c r="AA45" s="11">
        <v>0.0</v>
      </c>
      <c r="AB45" s="7"/>
      <c r="AC45" s="12"/>
      <c r="AD45" s="10"/>
    </row>
    <row r="46" ht="15.75" customHeight="1">
      <c r="A46" s="6">
        <v>44606.0</v>
      </c>
      <c r="B46" s="7">
        <f t="shared" si="1"/>
        <v>14</v>
      </c>
      <c r="C46" s="7">
        <f t="shared" si="2"/>
        <v>2</v>
      </c>
      <c r="D46" s="7">
        <v>4533.99</v>
      </c>
      <c r="E46" s="7">
        <v>6511.0</v>
      </c>
      <c r="F46" s="7">
        <v>6790.0</v>
      </c>
      <c r="G46" s="7">
        <v>13301.0</v>
      </c>
      <c r="H46" s="7">
        <v>144.61</v>
      </c>
      <c r="I46" s="7">
        <v>2237.0</v>
      </c>
      <c r="J46" s="7">
        <v>0.065</v>
      </c>
      <c r="K46" s="7">
        <v>1789.0</v>
      </c>
      <c r="L46" s="7">
        <v>2417.27</v>
      </c>
      <c r="M46" s="7">
        <v>3155.0</v>
      </c>
      <c r="N46" s="7">
        <v>0.766</v>
      </c>
      <c r="O46" s="8">
        <v>2428.0</v>
      </c>
      <c r="P46" s="7">
        <v>1853.25</v>
      </c>
      <c r="Q46" s="9">
        <v>1691468.0</v>
      </c>
      <c r="R46" s="7">
        <v>1.1</v>
      </c>
      <c r="S46" s="7">
        <v>2118.0</v>
      </c>
      <c r="T46" s="7">
        <v>105.52</v>
      </c>
      <c r="U46" s="7">
        <v>1795.0</v>
      </c>
      <c r="V46" s="7">
        <v>0.06</v>
      </c>
      <c r="W46" s="7">
        <v>271.0</v>
      </c>
      <c r="X46" s="7">
        <v>13.34</v>
      </c>
      <c r="Y46" s="10">
        <v>4712.0</v>
      </c>
      <c r="Z46" s="10">
        <v>2.83</v>
      </c>
      <c r="AA46" s="11">
        <v>0.0</v>
      </c>
      <c r="AB46" s="7"/>
      <c r="AC46" s="12"/>
      <c r="AD46" s="10"/>
    </row>
    <row r="47" ht="15.75" customHeight="1">
      <c r="A47" s="6">
        <v>44607.0</v>
      </c>
      <c r="B47" s="7">
        <f t="shared" si="1"/>
        <v>15</v>
      </c>
      <c r="C47" s="7">
        <f t="shared" si="2"/>
        <v>2</v>
      </c>
      <c r="D47" s="7">
        <v>4741.82</v>
      </c>
      <c r="E47" s="7">
        <v>7249.0</v>
      </c>
      <c r="F47" s="7">
        <v>6355.0</v>
      </c>
      <c r="G47" s="7">
        <v>13604.0</v>
      </c>
      <c r="H47" s="7">
        <v>162.16</v>
      </c>
      <c r="I47" s="7">
        <v>2453.0</v>
      </c>
      <c r="J47" s="7">
        <v>0.066</v>
      </c>
      <c r="K47" s="7">
        <v>1741.0</v>
      </c>
      <c r="L47" s="7">
        <v>2401.2</v>
      </c>
      <c r="M47" s="7">
        <v>3293.0</v>
      </c>
      <c r="N47" s="7">
        <v>0.729</v>
      </c>
      <c r="O47" s="8">
        <v>2421.0</v>
      </c>
      <c r="P47" s="7">
        <v>2051.62</v>
      </c>
      <c r="Q47" s="9">
        <v>1705699.0</v>
      </c>
      <c r="R47" s="7">
        <v>1.2</v>
      </c>
      <c r="S47" s="7">
        <v>2162.0</v>
      </c>
      <c r="T47" s="7">
        <v>104.65</v>
      </c>
      <c r="U47" s="7">
        <v>1784.0</v>
      </c>
      <c r="V47" s="7">
        <v>0.06</v>
      </c>
      <c r="W47" s="7">
        <v>209.0</v>
      </c>
      <c r="X47" s="7">
        <v>22.19</v>
      </c>
      <c r="Y47" s="10">
        <v>7764.0</v>
      </c>
      <c r="Z47" s="10">
        <v>2.86</v>
      </c>
      <c r="AA47" s="11">
        <v>0.0</v>
      </c>
      <c r="AB47" s="7"/>
      <c r="AC47" s="12"/>
      <c r="AD47" s="10"/>
    </row>
    <row r="48" ht="15.75" customHeight="1">
      <c r="A48" s="6">
        <v>44608.0</v>
      </c>
      <c r="B48" s="7">
        <f t="shared" si="1"/>
        <v>16</v>
      </c>
      <c r="C48" s="7">
        <f t="shared" si="2"/>
        <v>2</v>
      </c>
      <c r="D48" s="7">
        <v>4591.91</v>
      </c>
      <c r="E48" s="7">
        <v>5699.0</v>
      </c>
      <c r="F48" s="7">
        <v>7222.0</v>
      </c>
      <c r="G48" s="7">
        <v>12921.0</v>
      </c>
      <c r="H48" s="7">
        <v>133.56</v>
      </c>
      <c r="I48" s="7">
        <v>2182.0</v>
      </c>
      <c r="J48" s="7">
        <v>0.061</v>
      </c>
      <c r="K48" s="7">
        <v>1889.0</v>
      </c>
      <c r="L48" s="7">
        <v>2294.36</v>
      </c>
      <c r="M48" s="7">
        <v>3248.0</v>
      </c>
      <c r="N48" s="7">
        <v>0.706</v>
      </c>
      <c r="O48" s="8">
        <v>2679.0</v>
      </c>
      <c r="P48" s="7">
        <v>2093.82</v>
      </c>
      <c r="Q48" s="9">
        <v>1532216.0</v>
      </c>
      <c r="R48" s="7">
        <v>1.37</v>
      </c>
      <c r="S48" s="7">
        <v>2577.0</v>
      </c>
      <c r="T48" s="7">
        <v>53.81</v>
      </c>
      <c r="U48" s="7">
        <v>801.0</v>
      </c>
      <c r="V48" s="7">
        <v>0.07</v>
      </c>
      <c r="W48" s="7">
        <v>153.0</v>
      </c>
      <c r="X48" s="7">
        <v>16.36</v>
      </c>
      <c r="Y48" s="10">
        <v>5039.0</v>
      </c>
      <c r="Z48" s="10">
        <v>3.25</v>
      </c>
      <c r="AA48" s="11">
        <v>0.0</v>
      </c>
      <c r="AB48" s="7"/>
      <c r="AC48" s="12"/>
      <c r="AD48" s="10"/>
    </row>
    <row r="49" ht="15.75" customHeight="1">
      <c r="A49" s="6">
        <v>44609.0</v>
      </c>
      <c r="B49" s="7">
        <f t="shared" si="1"/>
        <v>17</v>
      </c>
      <c r="C49" s="7">
        <f t="shared" si="2"/>
        <v>2</v>
      </c>
      <c r="D49" s="7">
        <v>4352.11</v>
      </c>
      <c r="E49" s="7">
        <v>5438.0</v>
      </c>
      <c r="F49" s="7">
        <v>6715.0</v>
      </c>
      <c r="G49" s="7">
        <v>12153.0</v>
      </c>
      <c r="H49" s="7">
        <v>156.98</v>
      </c>
      <c r="I49" s="7">
        <v>1992.0</v>
      </c>
      <c r="J49" s="7">
        <v>0.079</v>
      </c>
      <c r="K49" s="7">
        <v>1682.0</v>
      </c>
      <c r="L49" s="7">
        <v>2278.93</v>
      </c>
      <c r="M49" s="7">
        <v>3412.0</v>
      </c>
      <c r="N49" s="7">
        <v>0.668</v>
      </c>
      <c r="O49" s="8">
        <v>2841.0</v>
      </c>
      <c r="P49" s="7">
        <v>1785.44</v>
      </c>
      <c r="Q49" s="9">
        <v>1270006.0</v>
      </c>
      <c r="R49" s="7">
        <v>1.41</v>
      </c>
      <c r="S49" s="7">
        <v>2121.0</v>
      </c>
      <c r="T49" s="7">
        <v>100.36</v>
      </c>
      <c r="U49" s="7">
        <v>1600.0</v>
      </c>
      <c r="V49" s="7">
        <v>0.06</v>
      </c>
      <c r="W49" s="7">
        <v>215.0</v>
      </c>
      <c r="X49" s="7">
        <v>30.4</v>
      </c>
      <c r="Y49" s="10">
        <v>13346.0</v>
      </c>
      <c r="Z49" s="10">
        <v>2.28</v>
      </c>
      <c r="AA49" s="11">
        <v>0.0</v>
      </c>
      <c r="AB49" s="7"/>
      <c r="AC49" s="12"/>
      <c r="AD49" s="10"/>
    </row>
    <row r="50" ht="15.75" customHeight="1">
      <c r="A50" s="6">
        <v>44610.0</v>
      </c>
      <c r="B50" s="7">
        <f t="shared" si="1"/>
        <v>18</v>
      </c>
      <c r="C50" s="7">
        <f t="shared" si="2"/>
        <v>2</v>
      </c>
      <c r="D50" s="7">
        <v>4461.91</v>
      </c>
      <c r="E50" s="7">
        <v>4825.0</v>
      </c>
      <c r="F50" s="7">
        <v>6426.0</v>
      </c>
      <c r="G50" s="7">
        <v>11251.0</v>
      </c>
      <c r="H50" s="7">
        <v>150.75</v>
      </c>
      <c r="I50" s="7">
        <v>1948.0</v>
      </c>
      <c r="J50" s="7">
        <v>0.077</v>
      </c>
      <c r="K50" s="7">
        <v>1589.0</v>
      </c>
      <c r="L50" s="7">
        <v>2126.78</v>
      </c>
      <c r="M50" s="7">
        <v>3129.0</v>
      </c>
      <c r="N50" s="7">
        <v>0.68</v>
      </c>
      <c r="O50" s="8">
        <v>2566.0</v>
      </c>
      <c r="P50" s="7">
        <v>2036.79</v>
      </c>
      <c r="Q50" s="9">
        <v>1372545.0</v>
      </c>
      <c r="R50" s="7">
        <v>1.48</v>
      </c>
      <c r="S50" s="7">
        <v>2099.0</v>
      </c>
      <c r="T50" s="7">
        <v>99.44</v>
      </c>
      <c r="U50" s="7">
        <v>1555.0</v>
      </c>
      <c r="V50" s="7">
        <v>0.06</v>
      </c>
      <c r="W50" s="7">
        <v>211.0</v>
      </c>
      <c r="X50" s="7">
        <v>48.15</v>
      </c>
      <c r="Y50" s="10">
        <v>18805.0</v>
      </c>
      <c r="Z50" s="10">
        <v>2.56</v>
      </c>
      <c r="AA50" s="11">
        <v>0.0</v>
      </c>
      <c r="AB50" s="7"/>
      <c r="AC50" s="12"/>
      <c r="AD50" s="10"/>
    </row>
    <row r="51" ht="15.75" customHeight="1">
      <c r="A51" s="6">
        <v>44611.0</v>
      </c>
      <c r="B51" s="7">
        <f t="shared" si="1"/>
        <v>19</v>
      </c>
      <c r="C51" s="7">
        <f t="shared" si="2"/>
        <v>2</v>
      </c>
      <c r="D51" s="7">
        <v>6306.01</v>
      </c>
      <c r="E51" s="7">
        <v>4437.0</v>
      </c>
      <c r="F51" s="7">
        <v>9703.0</v>
      </c>
      <c r="G51" s="7">
        <v>14140.0</v>
      </c>
      <c r="H51" s="7">
        <v>140.17</v>
      </c>
      <c r="I51" s="7">
        <v>1961.0</v>
      </c>
      <c r="J51" s="7">
        <v>0.071</v>
      </c>
      <c r="K51" s="7">
        <v>1618.0</v>
      </c>
      <c r="L51" s="7">
        <v>2362.74</v>
      </c>
      <c r="M51" s="7">
        <v>3702.0</v>
      </c>
      <c r="N51" s="7">
        <v>0.638</v>
      </c>
      <c r="O51" s="8">
        <v>2885.0</v>
      </c>
      <c r="P51" s="7">
        <v>3663.11</v>
      </c>
      <c r="Q51" s="9">
        <v>2353458.0</v>
      </c>
      <c r="R51" s="7">
        <v>1.56</v>
      </c>
      <c r="S51" s="7">
        <v>4889.0</v>
      </c>
      <c r="T51" s="7">
        <v>100.06</v>
      </c>
      <c r="U51" s="7">
        <v>1574.0</v>
      </c>
      <c r="V51" s="7">
        <v>0.06</v>
      </c>
      <c r="W51" s="7">
        <v>187.0</v>
      </c>
      <c r="X51" s="7">
        <v>39.93</v>
      </c>
      <c r="Y51" s="10">
        <v>15868.0</v>
      </c>
      <c r="Z51" s="10">
        <v>2.52</v>
      </c>
      <c r="AA51" s="11">
        <v>0.0</v>
      </c>
      <c r="AB51" s="7"/>
      <c r="AC51" s="12"/>
      <c r="AD51" s="10"/>
    </row>
    <row r="52" ht="15.75" customHeight="1">
      <c r="A52" s="6">
        <v>44612.0</v>
      </c>
      <c r="B52" s="7">
        <f t="shared" si="1"/>
        <v>20</v>
      </c>
      <c r="C52" s="7">
        <f t="shared" si="2"/>
        <v>2</v>
      </c>
      <c r="D52" s="7">
        <v>7349.76</v>
      </c>
      <c r="E52" s="7">
        <v>5212.0</v>
      </c>
      <c r="F52" s="7">
        <v>12191.0</v>
      </c>
      <c r="G52" s="7">
        <v>17403.0</v>
      </c>
      <c r="H52" s="7">
        <v>150.69</v>
      </c>
      <c r="I52" s="7">
        <v>2402.0</v>
      </c>
      <c r="J52" s="7">
        <v>0.063</v>
      </c>
      <c r="K52" s="7">
        <v>1879.0</v>
      </c>
      <c r="L52" s="7">
        <v>2830.88</v>
      </c>
      <c r="M52" s="7">
        <v>4699.0</v>
      </c>
      <c r="N52" s="7">
        <v>0.602</v>
      </c>
      <c r="O52" s="8">
        <v>3745.0</v>
      </c>
      <c r="P52" s="7">
        <v>4229.19</v>
      </c>
      <c r="Q52" s="9">
        <v>3189103.0</v>
      </c>
      <c r="R52" s="7">
        <v>1.33</v>
      </c>
      <c r="S52" s="7">
        <v>6140.0</v>
      </c>
      <c r="T52" s="7">
        <v>99.7</v>
      </c>
      <c r="U52" s="7">
        <v>1670.0</v>
      </c>
      <c r="V52" s="7">
        <v>0.06</v>
      </c>
      <c r="W52" s="7">
        <v>221.0</v>
      </c>
      <c r="X52" s="7">
        <v>39.3</v>
      </c>
      <c r="Y52" s="10">
        <v>17014.0</v>
      </c>
      <c r="Z52" s="10">
        <v>2.31</v>
      </c>
      <c r="AA52" s="11">
        <v>0.0</v>
      </c>
      <c r="AB52" s="7"/>
      <c r="AC52" s="12"/>
      <c r="AD52" s="10"/>
    </row>
    <row r="53" ht="15.75" customHeight="1">
      <c r="A53" s="6">
        <v>44613.0</v>
      </c>
      <c r="B53" s="7">
        <f t="shared" si="1"/>
        <v>21</v>
      </c>
      <c r="C53" s="7">
        <f t="shared" si="2"/>
        <v>2</v>
      </c>
      <c r="D53" s="7">
        <v>6632.45</v>
      </c>
      <c r="E53" s="7">
        <v>5656.0</v>
      </c>
      <c r="F53" s="7">
        <v>10169.0</v>
      </c>
      <c r="G53" s="7">
        <v>15825.0</v>
      </c>
      <c r="H53" s="7">
        <v>149.64</v>
      </c>
      <c r="I53" s="7">
        <v>2342.0</v>
      </c>
      <c r="J53" s="7">
        <v>0.064</v>
      </c>
      <c r="K53" s="7">
        <v>2009.0</v>
      </c>
      <c r="L53" s="7">
        <v>2601.47</v>
      </c>
      <c r="M53" s="7">
        <v>3933.0</v>
      </c>
      <c r="N53" s="7">
        <v>0.661</v>
      </c>
      <c r="O53" s="8">
        <v>3271.0</v>
      </c>
      <c r="P53" s="7">
        <v>3739.68</v>
      </c>
      <c r="Q53" s="9">
        <v>2888072.0</v>
      </c>
      <c r="R53" s="7">
        <v>1.29</v>
      </c>
      <c r="S53" s="7">
        <v>4905.0</v>
      </c>
      <c r="T53" s="7">
        <v>102.42</v>
      </c>
      <c r="U53" s="7">
        <v>1668.0</v>
      </c>
      <c r="V53" s="7">
        <v>0.06</v>
      </c>
      <c r="W53" s="7">
        <v>255.0</v>
      </c>
      <c r="X53" s="7">
        <v>39.24</v>
      </c>
      <c r="Y53" s="10">
        <v>14334.0</v>
      </c>
      <c r="Z53" s="10">
        <v>2.74</v>
      </c>
      <c r="AA53" s="11">
        <v>0.0</v>
      </c>
      <c r="AB53" s="7"/>
      <c r="AC53" s="12"/>
      <c r="AD53" s="10"/>
    </row>
    <row r="54" ht="15.75" customHeight="1">
      <c r="A54" s="6">
        <v>44614.0</v>
      </c>
      <c r="B54" s="7">
        <f t="shared" si="1"/>
        <v>22</v>
      </c>
      <c r="C54" s="7">
        <f t="shared" si="2"/>
        <v>2</v>
      </c>
      <c r="D54" s="7">
        <v>6437.88</v>
      </c>
      <c r="E54" s="7">
        <v>5227.0</v>
      </c>
      <c r="F54" s="7">
        <v>9916.0</v>
      </c>
      <c r="G54" s="7">
        <v>15143.0</v>
      </c>
      <c r="H54" s="7">
        <v>126.14</v>
      </c>
      <c r="I54" s="7">
        <v>2172.0</v>
      </c>
      <c r="J54" s="7">
        <v>0.058</v>
      </c>
      <c r="K54" s="7">
        <v>1885.0</v>
      </c>
      <c r="L54" s="7">
        <v>2202.22</v>
      </c>
      <c r="M54" s="7">
        <v>3439.0</v>
      </c>
      <c r="N54" s="7">
        <v>0.64</v>
      </c>
      <c r="O54" s="8">
        <v>2815.0</v>
      </c>
      <c r="P54" s="7">
        <v>3968.4</v>
      </c>
      <c r="Q54" s="9">
        <v>2740013.0</v>
      </c>
      <c r="R54" s="7">
        <v>1.45</v>
      </c>
      <c r="S54" s="7">
        <v>5010.0</v>
      </c>
      <c r="T54" s="7">
        <v>101.78</v>
      </c>
      <c r="U54" s="7">
        <v>1676.0</v>
      </c>
      <c r="V54" s="7">
        <v>0.06</v>
      </c>
      <c r="W54" s="7">
        <v>198.0</v>
      </c>
      <c r="X54" s="7">
        <v>39.34</v>
      </c>
      <c r="Y54" s="10">
        <v>13126.0</v>
      </c>
      <c r="Z54" s="10">
        <v>3.0</v>
      </c>
      <c r="AA54" s="11">
        <v>0.0</v>
      </c>
      <c r="AB54" s="7"/>
      <c r="AC54" s="12"/>
      <c r="AD54" s="10"/>
    </row>
    <row r="55" ht="15.75" customHeight="1">
      <c r="A55" s="6">
        <v>44615.0</v>
      </c>
      <c r="B55" s="7">
        <f t="shared" si="1"/>
        <v>23</v>
      </c>
      <c r="C55" s="7">
        <f t="shared" si="2"/>
        <v>2</v>
      </c>
      <c r="D55" s="7">
        <v>6132.57</v>
      </c>
      <c r="E55" s="7">
        <v>8376.0</v>
      </c>
      <c r="F55" s="7">
        <v>7595.0</v>
      </c>
      <c r="G55" s="7">
        <v>15971.0</v>
      </c>
      <c r="H55" s="7">
        <v>134.32</v>
      </c>
      <c r="I55" s="7">
        <v>2432.0</v>
      </c>
      <c r="J55" s="7">
        <v>0.055</v>
      </c>
      <c r="K55" s="7">
        <v>1701.0</v>
      </c>
      <c r="L55" s="7">
        <v>2011.29</v>
      </c>
      <c r="M55" s="7">
        <v>3243.0</v>
      </c>
      <c r="N55" s="7">
        <v>0.62</v>
      </c>
      <c r="O55" s="8">
        <v>2230.0</v>
      </c>
      <c r="P55" s="7">
        <v>3848.01</v>
      </c>
      <c r="Q55" s="9">
        <v>2414345.0</v>
      </c>
      <c r="R55" s="7">
        <v>1.59</v>
      </c>
      <c r="S55" s="7">
        <v>3510.0</v>
      </c>
      <c r="T55" s="7">
        <v>99.49</v>
      </c>
      <c r="U55" s="7">
        <v>1561.0</v>
      </c>
      <c r="V55" s="7">
        <v>0.06</v>
      </c>
      <c r="W55" s="7">
        <v>198.0</v>
      </c>
      <c r="X55" s="7">
        <v>39.46</v>
      </c>
      <c r="Y55" s="10">
        <v>12587.0</v>
      </c>
      <c r="Z55" s="10">
        <v>3.13</v>
      </c>
      <c r="AA55" s="11">
        <v>0.0</v>
      </c>
      <c r="AB55" s="7"/>
      <c r="AC55" s="12"/>
      <c r="AD55" s="10"/>
    </row>
    <row r="56" ht="15.75" customHeight="1">
      <c r="A56" s="6">
        <v>44616.0</v>
      </c>
      <c r="B56" s="7">
        <f t="shared" si="1"/>
        <v>24</v>
      </c>
      <c r="C56" s="7">
        <f t="shared" si="2"/>
        <v>2</v>
      </c>
      <c r="D56" s="7">
        <v>5447.67</v>
      </c>
      <c r="E56" s="7">
        <v>4232.0</v>
      </c>
      <c r="F56" s="7">
        <v>7038.0</v>
      </c>
      <c r="G56" s="7">
        <v>11270.0</v>
      </c>
      <c r="H56" s="7">
        <v>110.74</v>
      </c>
      <c r="I56" s="7">
        <v>1547.0</v>
      </c>
      <c r="J56" s="7">
        <v>0.072</v>
      </c>
      <c r="K56" s="7">
        <v>1472.0</v>
      </c>
      <c r="L56" s="7">
        <v>1465.95</v>
      </c>
      <c r="M56" s="7">
        <v>2209.0</v>
      </c>
      <c r="N56" s="7">
        <v>0.664</v>
      </c>
      <c r="O56" s="8">
        <v>1898.0</v>
      </c>
      <c r="P56" s="7">
        <v>3703.62</v>
      </c>
      <c r="Q56" s="9">
        <v>2605107.0</v>
      </c>
      <c r="R56" s="7">
        <v>1.42</v>
      </c>
      <c r="S56" s="7">
        <v>3498.0</v>
      </c>
      <c r="T56" s="7">
        <v>99.4</v>
      </c>
      <c r="U56" s="7">
        <v>1588.0</v>
      </c>
      <c r="V56" s="7">
        <v>0.06</v>
      </c>
      <c r="W56" s="7">
        <v>201.0</v>
      </c>
      <c r="X56" s="7">
        <v>67.96</v>
      </c>
      <c r="Y56" s="10">
        <v>26373.0</v>
      </c>
      <c r="Z56" s="10">
        <v>2.58</v>
      </c>
      <c r="AA56" s="11">
        <v>0.0</v>
      </c>
      <c r="AB56" s="7"/>
      <c r="AC56" s="12"/>
      <c r="AD56" s="10"/>
    </row>
    <row r="57" ht="15.75" customHeight="1">
      <c r="A57" s="6">
        <v>44617.0</v>
      </c>
      <c r="B57" s="7">
        <f t="shared" si="1"/>
        <v>25</v>
      </c>
      <c r="C57" s="7">
        <f t="shared" si="2"/>
        <v>2</v>
      </c>
      <c r="D57" s="7">
        <v>5303.25</v>
      </c>
      <c r="E57" s="7">
        <v>3672.0</v>
      </c>
      <c r="F57" s="7">
        <v>6232.0</v>
      </c>
      <c r="G57" s="7">
        <v>9904.0</v>
      </c>
      <c r="H57" s="7">
        <v>85.63</v>
      </c>
      <c r="I57" s="7">
        <v>1449.0</v>
      </c>
      <c r="J57" s="7">
        <v>0.059</v>
      </c>
      <c r="K57" s="7">
        <v>1337.0</v>
      </c>
      <c r="L57" s="7">
        <v>1365.41</v>
      </c>
      <c r="M57" s="7">
        <v>1955.0</v>
      </c>
      <c r="N57" s="7">
        <v>0.698</v>
      </c>
      <c r="O57" s="8">
        <v>1671.0</v>
      </c>
      <c r="P57" s="7">
        <v>3686.1</v>
      </c>
      <c r="Q57" s="9">
        <v>2505519.0</v>
      </c>
      <c r="R57" s="7">
        <v>1.47</v>
      </c>
      <c r="S57" s="7">
        <v>3044.0</v>
      </c>
      <c r="T57" s="7">
        <v>98.39</v>
      </c>
      <c r="U57" s="7">
        <v>1575.0</v>
      </c>
      <c r="V57" s="7">
        <v>0.06</v>
      </c>
      <c r="W57" s="7">
        <v>195.0</v>
      </c>
      <c r="X57" s="7">
        <v>67.72</v>
      </c>
      <c r="Y57" s="10">
        <v>31741.0</v>
      </c>
      <c r="Z57" s="10">
        <v>2.13</v>
      </c>
      <c r="AA57" s="11">
        <v>0.0</v>
      </c>
      <c r="AB57" s="7"/>
      <c r="AC57" s="12"/>
      <c r="AD57" s="10"/>
    </row>
    <row r="58" ht="15.75" customHeight="1">
      <c r="A58" s="6">
        <v>44618.0</v>
      </c>
      <c r="B58" s="7">
        <f t="shared" si="1"/>
        <v>26</v>
      </c>
      <c r="C58" s="7">
        <f t="shared" si="2"/>
        <v>2</v>
      </c>
      <c r="D58" s="7">
        <v>5389.66</v>
      </c>
      <c r="E58" s="7">
        <v>3491.0</v>
      </c>
      <c r="F58" s="7">
        <v>6944.0</v>
      </c>
      <c r="G58" s="7">
        <v>10435.0</v>
      </c>
      <c r="H58" s="7">
        <v>84.14</v>
      </c>
      <c r="I58" s="7">
        <v>1624.0</v>
      </c>
      <c r="J58" s="7">
        <v>0.052</v>
      </c>
      <c r="K58" s="7">
        <v>1333.0</v>
      </c>
      <c r="L58" s="7">
        <v>1561.08</v>
      </c>
      <c r="M58" s="7">
        <v>2409.0</v>
      </c>
      <c r="N58" s="7">
        <v>0.648</v>
      </c>
      <c r="O58" s="8">
        <v>1985.0</v>
      </c>
      <c r="P58" s="7">
        <v>3575.65</v>
      </c>
      <c r="Q58" s="9">
        <v>2321026.0</v>
      </c>
      <c r="R58" s="7">
        <v>1.54</v>
      </c>
      <c r="S58" s="7">
        <v>3543.0</v>
      </c>
      <c r="T58" s="7">
        <v>99.35</v>
      </c>
      <c r="U58" s="7">
        <v>1568.0</v>
      </c>
      <c r="V58" s="7">
        <v>0.06</v>
      </c>
      <c r="W58" s="7">
        <v>191.0</v>
      </c>
      <c r="X58" s="7">
        <v>69.44</v>
      </c>
      <c r="Y58" s="10">
        <v>24202.0</v>
      </c>
      <c r="Z58" s="10">
        <v>2.87</v>
      </c>
      <c r="AA58" s="11">
        <v>0.0</v>
      </c>
      <c r="AB58" s="7"/>
      <c r="AC58" s="12"/>
      <c r="AD58" s="10"/>
    </row>
    <row r="59" ht="15.75" customHeight="1">
      <c r="A59" s="6">
        <v>44619.0</v>
      </c>
      <c r="B59" s="7">
        <f t="shared" si="1"/>
        <v>27</v>
      </c>
      <c r="C59" s="7">
        <f t="shared" si="2"/>
        <v>2</v>
      </c>
      <c r="D59" s="7">
        <v>6139.51</v>
      </c>
      <c r="E59" s="7">
        <v>4071.0</v>
      </c>
      <c r="F59" s="7">
        <v>8626.0</v>
      </c>
      <c r="G59" s="7">
        <v>12697.0</v>
      </c>
      <c r="H59" s="7">
        <v>91.32</v>
      </c>
      <c r="I59" s="7">
        <v>1977.0</v>
      </c>
      <c r="J59" s="7">
        <v>0.046</v>
      </c>
      <c r="K59" s="7">
        <v>1641.0</v>
      </c>
      <c r="L59" s="7">
        <v>2236.64</v>
      </c>
      <c r="M59" s="7">
        <v>3577.0</v>
      </c>
      <c r="N59" s="7">
        <v>0.625</v>
      </c>
      <c r="O59" s="8">
        <v>2852.0</v>
      </c>
      <c r="P59" s="7">
        <v>3643.82</v>
      </c>
      <c r="Q59" s="9">
        <v>2765883.0</v>
      </c>
      <c r="R59" s="7">
        <v>1.32</v>
      </c>
      <c r="S59" s="7">
        <v>4019.0</v>
      </c>
      <c r="T59" s="7">
        <v>99.45</v>
      </c>
      <c r="U59" s="7">
        <v>1652.0</v>
      </c>
      <c r="V59" s="7">
        <v>0.06</v>
      </c>
      <c r="W59" s="7">
        <v>180.0</v>
      </c>
      <c r="X59" s="7">
        <v>68.28</v>
      </c>
      <c r="Y59" s="10">
        <v>29213.0</v>
      </c>
      <c r="Z59" s="10">
        <v>2.34</v>
      </c>
      <c r="AA59" s="11">
        <v>0.0</v>
      </c>
      <c r="AB59" s="7"/>
      <c r="AC59" s="12"/>
      <c r="AD59" s="10"/>
    </row>
    <row r="60" ht="15.75" customHeight="1">
      <c r="A60" s="6">
        <v>44620.0</v>
      </c>
      <c r="B60" s="7">
        <f t="shared" si="1"/>
        <v>28</v>
      </c>
      <c r="C60" s="7">
        <f t="shared" si="2"/>
        <v>2</v>
      </c>
      <c r="D60" s="7">
        <v>5801.88</v>
      </c>
      <c r="E60" s="7">
        <v>4597.0</v>
      </c>
      <c r="F60" s="7">
        <v>7568.0</v>
      </c>
      <c r="G60" s="7">
        <v>12165.0</v>
      </c>
      <c r="H60" s="7">
        <v>101.3</v>
      </c>
      <c r="I60" s="7">
        <v>1858.0</v>
      </c>
      <c r="J60" s="7">
        <v>0.055</v>
      </c>
      <c r="K60" s="7">
        <v>1622.0</v>
      </c>
      <c r="L60" s="7">
        <v>1998.97</v>
      </c>
      <c r="M60" s="7">
        <v>2796.0</v>
      </c>
      <c r="N60" s="7">
        <v>0.715</v>
      </c>
      <c r="O60" s="8">
        <v>2414.0</v>
      </c>
      <c r="P60" s="7">
        <v>3534.81</v>
      </c>
      <c r="Q60" s="9">
        <v>2622419.0</v>
      </c>
      <c r="R60" s="7">
        <v>1.35</v>
      </c>
      <c r="S60" s="7">
        <v>3535.0</v>
      </c>
      <c r="T60" s="7">
        <v>100.36</v>
      </c>
      <c r="U60" s="7">
        <v>1633.0</v>
      </c>
      <c r="V60" s="7">
        <v>0.06</v>
      </c>
      <c r="W60" s="7">
        <v>174.0</v>
      </c>
      <c r="X60" s="7">
        <v>66.44</v>
      </c>
      <c r="Y60" s="10">
        <v>30169.0</v>
      </c>
      <c r="Z60" s="10">
        <v>2.2</v>
      </c>
      <c r="AA60" s="11">
        <v>0.0</v>
      </c>
      <c r="AB60" s="7"/>
      <c r="AC60" s="12"/>
      <c r="AD60" s="10"/>
    </row>
    <row r="61" ht="15.75" customHeight="1">
      <c r="A61" s="6">
        <v>44621.0</v>
      </c>
      <c r="B61" s="7">
        <f t="shared" si="1"/>
        <v>1</v>
      </c>
      <c r="C61" s="7">
        <f t="shared" si="2"/>
        <v>3</v>
      </c>
      <c r="D61" s="7">
        <v>5822.06</v>
      </c>
      <c r="E61" s="7">
        <v>4870.0</v>
      </c>
      <c r="F61" s="7">
        <v>7950.0</v>
      </c>
      <c r="G61" s="7">
        <v>12820.0</v>
      </c>
      <c r="H61" s="7">
        <v>152.47</v>
      </c>
      <c r="I61" s="7">
        <v>1931.0</v>
      </c>
      <c r="J61" s="7">
        <v>0.079</v>
      </c>
      <c r="K61" s="7">
        <v>1662.0</v>
      </c>
      <c r="L61" s="7">
        <v>1943.16</v>
      </c>
      <c r="M61" s="7">
        <v>2794.0</v>
      </c>
      <c r="N61" s="7">
        <v>0.695</v>
      </c>
      <c r="O61" s="8">
        <v>2344.0</v>
      </c>
      <c r="P61" s="7">
        <v>3558.57</v>
      </c>
      <c r="Q61" s="9">
        <v>2690068.0</v>
      </c>
      <c r="R61" s="7">
        <v>1.32</v>
      </c>
      <c r="S61" s="7">
        <v>3869.0</v>
      </c>
      <c r="T61" s="7">
        <v>99.03</v>
      </c>
      <c r="U61" s="7">
        <v>1632.0</v>
      </c>
      <c r="V61" s="7">
        <v>0.06</v>
      </c>
      <c r="W61" s="7">
        <v>207.0</v>
      </c>
      <c r="X61" s="7">
        <v>68.83</v>
      </c>
      <c r="Y61" s="10">
        <v>27700.0</v>
      </c>
      <c r="Z61" s="10">
        <v>2.48</v>
      </c>
      <c r="AA61" s="11">
        <v>0.0</v>
      </c>
      <c r="AB61" s="7"/>
      <c r="AC61" s="12"/>
      <c r="AD61" s="10"/>
    </row>
    <row r="62" ht="15.75" customHeight="1">
      <c r="A62" s="6">
        <v>44622.0</v>
      </c>
      <c r="B62" s="7">
        <f t="shared" si="1"/>
        <v>2</v>
      </c>
      <c r="C62" s="7">
        <f t="shared" si="2"/>
        <v>3</v>
      </c>
      <c r="D62" s="7">
        <v>6441.77</v>
      </c>
      <c r="E62" s="7">
        <v>4822.0</v>
      </c>
      <c r="F62" s="7">
        <v>8545.0</v>
      </c>
      <c r="G62" s="7">
        <v>13367.0</v>
      </c>
      <c r="H62" s="7">
        <v>99.32</v>
      </c>
      <c r="I62" s="7">
        <v>1932.0</v>
      </c>
      <c r="J62" s="7">
        <v>0.051</v>
      </c>
      <c r="K62" s="7">
        <v>1705.0</v>
      </c>
      <c r="L62" s="7">
        <v>2212.34</v>
      </c>
      <c r="M62" s="7">
        <v>3023.0</v>
      </c>
      <c r="N62" s="7">
        <v>0.732</v>
      </c>
      <c r="O62" s="8">
        <v>2545.0</v>
      </c>
      <c r="P62" s="7">
        <v>3934.23</v>
      </c>
      <c r="Q62" s="9">
        <v>2587005.0</v>
      </c>
      <c r="R62" s="7">
        <v>1.52</v>
      </c>
      <c r="S62" s="7">
        <v>4204.0</v>
      </c>
      <c r="T62" s="7">
        <v>127.7</v>
      </c>
      <c r="U62" s="7">
        <v>2149.0</v>
      </c>
      <c r="V62" s="7">
        <v>0.06</v>
      </c>
      <c r="W62" s="7">
        <v>238.0</v>
      </c>
      <c r="X62" s="7">
        <v>68.18</v>
      </c>
      <c r="Y62" s="10">
        <v>28310.0</v>
      </c>
      <c r="Z62" s="10">
        <v>2.41</v>
      </c>
      <c r="AA62" s="11">
        <v>0.0</v>
      </c>
      <c r="AB62" s="7"/>
      <c r="AC62" s="12"/>
      <c r="AD62" s="10"/>
    </row>
    <row r="63" ht="15.75" customHeight="1">
      <c r="A63" s="6">
        <v>44623.0</v>
      </c>
      <c r="B63" s="7">
        <f t="shared" si="1"/>
        <v>3</v>
      </c>
      <c r="C63" s="7">
        <f t="shared" si="2"/>
        <v>3</v>
      </c>
      <c r="D63" s="7">
        <v>7242.06</v>
      </c>
      <c r="E63" s="7">
        <v>4296.0</v>
      </c>
      <c r="F63" s="7">
        <v>8634.0</v>
      </c>
      <c r="G63" s="7">
        <v>12930.0</v>
      </c>
      <c r="H63" s="7">
        <v>104.25</v>
      </c>
      <c r="I63" s="7">
        <v>1761.0</v>
      </c>
      <c r="J63" s="7">
        <v>0.059</v>
      </c>
      <c r="K63" s="7">
        <v>1584.0</v>
      </c>
      <c r="L63" s="7">
        <v>2618.96</v>
      </c>
      <c r="M63" s="7">
        <v>3229.0</v>
      </c>
      <c r="N63" s="7">
        <v>0.811</v>
      </c>
      <c r="O63" s="8">
        <v>2677.0</v>
      </c>
      <c r="P63" s="7">
        <v>4404.05</v>
      </c>
      <c r="Q63" s="9">
        <v>2812624.0</v>
      </c>
      <c r="R63" s="7">
        <v>1.57</v>
      </c>
      <c r="S63" s="7">
        <v>4424.0</v>
      </c>
      <c r="T63" s="7">
        <v>14.85</v>
      </c>
      <c r="U63" s="7">
        <v>243.0</v>
      </c>
      <c r="V63" s="7">
        <v>0.06</v>
      </c>
      <c r="W63" s="7">
        <v>59.0</v>
      </c>
      <c r="X63" s="7">
        <v>99.95</v>
      </c>
      <c r="Y63" s="10">
        <v>35483.0</v>
      </c>
      <c r="Z63" s="10">
        <v>2.82</v>
      </c>
      <c r="AA63" s="11">
        <v>0.0</v>
      </c>
      <c r="AB63" s="7"/>
      <c r="AC63" s="12"/>
      <c r="AD63" s="10"/>
    </row>
    <row r="64" ht="15.75" customHeight="1">
      <c r="A64" s="6">
        <v>44624.0</v>
      </c>
      <c r="B64" s="7">
        <f t="shared" si="1"/>
        <v>4</v>
      </c>
      <c r="C64" s="7">
        <f t="shared" si="2"/>
        <v>3</v>
      </c>
      <c r="D64" s="7">
        <v>7941.39</v>
      </c>
      <c r="E64" s="7">
        <v>3942.0</v>
      </c>
      <c r="F64" s="7">
        <v>8077.0</v>
      </c>
      <c r="G64" s="7">
        <v>12019.0</v>
      </c>
      <c r="H64" s="7">
        <v>128.67</v>
      </c>
      <c r="I64" s="7">
        <v>1725.0</v>
      </c>
      <c r="J64" s="7">
        <v>0.075</v>
      </c>
      <c r="K64" s="7">
        <v>1508.0</v>
      </c>
      <c r="L64" s="7">
        <v>2469.63</v>
      </c>
      <c r="M64" s="7">
        <v>3097.0</v>
      </c>
      <c r="N64" s="7">
        <v>0.797</v>
      </c>
      <c r="O64" s="8">
        <v>2492.0</v>
      </c>
      <c r="P64" s="7">
        <v>5273.75</v>
      </c>
      <c r="Q64" s="9">
        <v>3057088.0</v>
      </c>
      <c r="R64" s="7">
        <v>1.73</v>
      </c>
      <c r="S64" s="7">
        <v>4094.0</v>
      </c>
      <c r="T64" s="7">
        <v>0.0</v>
      </c>
      <c r="U64" s="7">
        <v>0.0</v>
      </c>
      <c r="V64" s="7">
        <v>0.0</v>
      </c>
      <c r="W64" s="7">
        <v>37.0</v>
      </c>
      <c r="X64" s="7">
        <v>69.34</v>
      </c>
      <c r="Y64" s="10">
        <v>22165.0</v>
      </c>
      <c r="Z64" s="10">
        <v>3.13</v>
      </c>
      <c r="AA64" s="11">
        <v>0.0</v>
      </c>
      <c r="AB64" s="7"/>
      <c r="AC64" s="12"/>
      <c r="AD64" s="10"/>
    </row>
    <row r="65" ht="15.75" customHeight="1">
      <c r="A65" s="6">
        <v>44625.0</v>
      </c>
      <c r="B65" s="7">
        <f t="shared" si="1"/>
        <v>5</v>
      </c>
      <c r="C65" s="7">
        <f t="shared" si="2"/>
        <v>3</v>
      </c>
      <c r="D65" s="7">
        <v>8474.44</v>
      </c>
      <c r="E65" s="7">
        <v>4940.0</v>
      </c>
      <c r="F65" s="7">
        <v>8279.0</v>
      </c>
      <c r="G65" s="7">
        <v>13219.0</v>
      </c>
      <c r="H65" s="7">
        <v>121.99</v>
      </c>
      <c r="I65" s="7">
        <v>1997.0</v>
      </c>
      <c r="J65" s="7">
        <v>0.061</v>
      </c>
      <c r="K65" s="7">
        <v>1517.0</v>
      </c>
      <c r="L65" s="7">
        <v>2648.48</v>
      </c>
      <c r="M65" s="7">
        <v>3546.0</v>
      </c>
      <c r="N65" s="7">
        <v>0.747</v>
      </c>
      <c r="O65" s="8">
        <v>2609.0</v>
      </c>
      <c r="P65" s="7">
        <v>5635.73</v>
      </c>
      <c r="Q65" s="9">
        <v>3020448.0</v>
      </c>
      <c r="R65" s="7">
        <v>1.87</v>
      </c>
      <c r="S65" s="7">
        <v>4311.0</v>
      </c>
      <c r="T65" s="7">
        <v>0.0</v>
      </c>
      <c r="U65" s="7">
        <v>0.0</v>
      </c>
      <c r="V65" s="7">
        <v>0.0</v>
      </c>
      <c r="W65" s="7">
        <v>39.0</v>
      </c>
      <c r="X65" s="7">
        <v>68.24</v>
      </c>
      <c r="Y65" s="10">
        <v>22826.0</v>
      </c>
      <c r="Z65" s="10">
        <v>2.99</v>
      </c>
      <c r="AA65" s="11">
        <v>0.0</v>
      </c>
      <c r="AB65" s="7"/>
      <c r="AC65" s="12"/>
      <c r="AD65" s="10"/>
    </row>
    <row r="66" ht="15.75" customHeight="1">
      <c r="A66" s="6">
        <v>44626.0</v>
      </c>
      <c r="B66" s="7">
        <f t="shared" si="1"/>
        <v>6</v>
      </c>
      <c r="C66" s="7">
        <f t="shared" si="2"/>
        <v>3</v>
      </c>
      <c r="D66" s="7">
        <v>9537.17</v>
      </c>
      <c r="E66" s="7">
        <v>4712.0</v>
      </c>
      <c r="F66" s="7">
        <v>10924.0</v>
      </c>
      <c r="G66" s="7">
        <v>15636.0</v>
      </c>
      <c r="H66" s="7">
        <v>132.78</v>
      </c>
      <c r="I66" s="7">
        <v>2395.0</v>
      </c>
      <c r="J66" s="7">
        <v>0.055</v>
      </c>
      <c r="K66" s="7">
        <v>1956.0</v>
      </c>
      <c r="L66" s="7">
        <v>3331.6</v>
      </c>
      <c r="M66" s="7">
        <v>4536.0</v>
      </c>
      <c r="N66" s="7">
        <v>0.734</v>
      </c>
      <c r="O66" s="8">
        <v>3559.0</v>
      </c>
      <c r="P66" s="7">
        <v>6006.66</v>
      </c>
      <c r="Q66" s="9">
        <v>3659171.0</v>
      </c>
      <c r="R66" s="7">
        <v>1.64</v>
      </c>
      <c r="S66" s="7">
        <v>5424.0</v>
      </c>
      <c r="T66" s="7">
        <v>0.0</v>
      </c>
      <c r="U66" s="7">
        <v>0.0</v>
      </c>
      <c r="V66" s="7">
        <v>0.0</v>
      </c>
      <c r="W66" s="7">
        <v>54.0</v>
      </c>
      <c r="X66" s="7">
        <v>66.13</v>
      </c>
      <c r="Y66" s="10">
        <v>27102.0</v>
      </c>
      <c r="Z66" s="10">
        <v>2.44</v>
      </c>
      <c r="AA66" s="11">
        <v>0.0</v>
      </c>
      <c r="AB66" s="7"/>
      <c r="AC66" s="12"/>
      <c r="AD66" s="10"/>
    </row>
    <row r="67" ht="15.75" customHeight="1">
      <c r="A67" s="6">
        <v>44627.0</v>
      </c>
      <c r="B67" s="7">
        <f t="shared" si="1"/>
        <v>7</v>
      </c>
      <c r="C67" s="7">
        <f t="shared" si="2"/>
        <v>3</v>
      </c>
      <c r="D67" s="7">
        <v>9181.76</v>
      </c>
      <c r="E67" s="7">
        <v>5016.0</v>
      </c>
      <c r="F67" s="7">
        <v>9603.0</v>
      </c>
      <c r="G67" s="7">
        <v>14619.0</v>
      </c>
      <c r="H67" s="7">
        <v>125.19</v>
      </c>
      <c r="I67" s="7">
        <v>2142.0</v>
      </c>
      <c r="J67" s="7">
        <v>0.058</v>
      </c>
      <c r="K67" s="7">
        <v>1925.0</v>
      </c>
      <c r="L67" s="7">
        <v>3141.1</v>
      </c>
      <c r="M67" s="7">
        <v>3958.0</v>
      </c>
      <c r="N67" s="7">
        <v>0.794</v>
      </c>
      <c r="O67" s="8">
        <v>3202.0</v>
      </c>
      <c r="P67" s="7">
        <v>5846.95</v>
      </c>
      <c r="Q67" s="9">
        <v>3577613.0</v>
      </c>
      <c r="R67" s="7">
        <v>1.63</v>
      </c>
      <c r="S67" s="7">
        <v>4631.0</v>
      </c>
      <c r="T67" s="7">
        <v>0.0</v>
      </c>
      <c r="U67" s="7">
        <v>0.0</v>
      </c>
      <c r="V67" s="7">
        <v>0.0</v>
      </c>
      <c r="W67" s="7">
        <v>59.0</v>
      </c>
      <c r="X67" s="7">
        <v>68.52</v>
      </c>
      <c r="Y67" s="10">
        <v>22963.0</v>
      </c>
      <c r="Z67" s="10">
        <v>2.98</v>
      </c>
      <c r="AA67" s="11">
        <v>0.0</v>
      </c>
      <c r="AB67" s="7"/>
      <c r="AC67" s="12"/>
      <c r="AD67" s="10"/>
    </row>
    <row r="68" ht="15.75" customHeight="1">
      <c r="A68" s="6">
        <v>44628.0</v>
      </c>
      <c r="B68" s="7">
        <f t="shared" si="1"/>
        <v>8</v>
      </c>
      <c r="C68" s="7">
        <f t="shared" si="2"/>
        <v>3</v>
      </c>
      <c r="D68" s="7">
        <v>8895.82</v>
      </c>
      <c r="E68" s="7">
        <v>4450.0</v>
      </c>
      <c r="F68" s="7">
        <v>9013.0</v>
      </c>
      <c r="G68" s="7">
        <v>13463.0</v>
      </c>
      <c r="H68" s="7">
        <v>131.38</v>
      </c>
      <c r="I68" s="7">
        <v>1892.0</v>
      </c>
      <c r="J68" s="7">
        <v>0.069</v>
      </c>
      <c r="K68" s="7">
        <v>1751.0</v>
      </c>
      <c r="L68" s="7">
        <v>2917.62</v>
      </c>
      <c r="M68" s="7">
        <v>3447.0</v>
      </c>
      <c r="N68" s="7">
        <v>0.846</v>
      </c>
      <c r="O68" s="8">
        <v>2861.0</v>
      </c>
      <c r="P68" s="7">
        <v>5778.8</v>
      </c>
      <c r="Q68" s="9">
        <v>3654712.0</v>
      </c>
      <c r="R68" s="7">
        <v>1.58</v>
      </c>
      <c r="S68" s="7">
        <v>4314.0</v>
      </c>
      <c r="T68" s="7">
        <v>0.0</v>
      </c>
      <c r="U68" s="7">
        <v>0.0</v>
      </c>
      <c r="V68" s="7">
        <v>0.0</v>
      </c>
      <c r="W68" s="7">
        <v>49.0</v>
      </c>
      <c r="X68" s="7">
        <v>68.02</v>
      </c>
      <c r="Y68" s="10">
        <v>21978.0</v>
      </c>
      <c r="Z68" s="10">
        <v>3.09</v>
      </c>
      <c r="AA68" s="11">
        <v>0.0</v>
      </c>
      <c r="AB68" s="7"/>
      <c r="AC68" s="12"/>
      <c r="AD68" s="10"/>
    </row>
    <row r="69" ht="15.75" customHeight="1">
      <c r="A69" s="6">
        <v>44629.0</v>
      </c>
      <c r="B69" s="7">
        <f t="shared" si="1"/>
        <v>9</v>
      </c>
      <c r="C69" s="7">
        <f t="shared" si="2"/>
        <v>3</v>
      </c>
      <c r="D69" s="7">
        <v>7736.11</v>
      </c>
      <c r="E69" s="7">
        <v>4674.0</v>
      </c>
      <c r="F69" s="7">
        <v>7665.0</v>
      </c>
      <c r="G69" s="7">
        <v>12339.0</v>
      </c>
      <c r="H69" s="7">
        <v>132.08</v>
      </c>
      <c r="I69" s="7">
        <v>1960.0</v>
      </c>
      <c r="J69" s="7">
        <v>0.067</v>
      </c>
      <c r="K69" s="7">
        <v>1688.0</v>
      </c>
      <c r="L69" s="7">
        <v>2986.85</v>
      </c>
      <c r="M69" s="7">
        <v>3355.0</v>
      </c>
      <c r="N69" s="7">
        <v>0.89</v>
      </c>
      <c r="O69" s="8">
        <v>2781.0</v>
      </c>
      <c r="P69" s="7">
        <v>4534.22</v>
      </c>
      <c r="Q69" s="9">
        <v>2680244.0</v>
      </c>
      <c r="R69" s="7">
        <v>1.69</v>
      </c>
      <c r="S69" s="7">
        <v>3204.0</v>
      </c>
      <c r="T69" s="7">
        <v>0.0</v>
      </c>
      <c r="U69" s="7">
        <v>0.0</v>
      </c>
      <c r="V69" s="7">
        <v>0.0</v>
      </c>
      <c r="W69" s="7">
        <v>71.0</v>
      </c>
      <c r="X69" s="7">
        <v>82.96</v>
      </c>
      <c r="Y69" s="10">
        <v>40557.0</v>
      </c>
      <c r="Z69" s="10">
        <v>2.05</v>
      </c>
      <c r="AA69" s="11">
        <v>0.0</v>
      </c>
      <c r="AB69" s="7"/>
      <c r="AC69" s="12"/>
      <c r="AD69" s="10"/>
    </row>
    <row r="70" ht="15.75" customHeight="1">
      <c r="A70" s="6">
        <v>44630.0</v>
      </c>
      <c r="B70" s="7">
        <f t="shared" si="1"/>
        <v>10</v>
      </c>
      <c r="C70" s="7">
        <f t="shared" si="2"/>
        <v>3</v>
      </c>
      <c r="D70" s="7">
        <v>7789.04</v>
      </c>
      <c r="E70" s="7">
        <v>5868.0</v>
      </c>
      <c r="F70" s="7">
        <v>7552.0</v>
      </c>
      <c r="G70" s="7">
        <v>13420.0</v>
      </c>
      <c r="H70" s="7">
        <v>120.42</v>
      </c>
      <c r="I70" s="7">
        <v>2068.0</v>
      </c>
      <c r="J70" s="7">
        <v>0.058</v>
      </c>
      <c r="K70" s="7">
        <v>1859.0</v>
      </c>
      <c r="L70" s="7">
        <v>2668.8</v>
      </c>
      <c r="M70" s="7">
        <v>3106.0</v>
      </c>
      <c r="N70" s="7">
        <v>0.859</v>
      </c>
      <c r="O70" s="8">
        <v>2638.0</v>
      </c>
      <c r="P70" s="7">
        <v>4699.39</v>
      </c>
      <c r="Q70" s="9">
        <v>2613959.0</v>
      </c>
      <c r="R70" s="7">
        <v>1.8</v>
      </c>
      <c r="S70" s="7">
        <v>3235.0</v>
      </c>
      <c r="T70" s="7">
        <v>230.99</v>
      </c>
      <c r="U70" s="7">
        <v>45.0</v>
      </c>
      <c r="V70" s="7">
        <v>5.13</v>
      </c>
      <c r="W70" s="7">
        <v>45.0</v>
      </c>
      <c r="X70" s="7">
        <v>69.44</v>
      </c>
      <c r="Y70" s="10">
        <v>30660.0</v>
      </c>
      <c r="Z70" s="10">
        <v>2.26</v>
      </c>
      <c r="AA70" s="11">
        <v>0.0</v>
      </c>
      <c r="AB70" s="7"/>
      <c r="AC70" s="12"/>
      <c r="AD70" s="10"/>
    </row>
    <row r="71" ht="15.75" customHeight="1">
      <c r="A71" s="6">
        <v>44631.0</v>
      </c>
      <c r="B71" s="7">
        <f t="shared" si="1"/>
        <v>11</v>
      </c>
      <c r="C71" s="7">
        <f t="shared" si="2"/>
        <v>3</v>
      </c>
      <c r="D71" s="7">
        <v>8220.42</v>
      </c>
      <c r="E71" s="7">
        <v>5405.0</v>
      </c>
      <c r="F71" s="7">
        <v>7677.0</v>
      </c>
      <c r="G71" s="7">
        <v>13082.0</v>
      </c>
      <c r="H71" s="7">
        <v>133.58</v>
      </c>
      <c r="I71" s="7">
        <v>1874.0</v>
      </c>
      <c r="J71" s="7">
        <v>0.071</v>
      </c>
      <c r="K71" s="7">
        <v>1756.0</v>
      </c>
      <c r="L71" s="7">
        <v>2645.31</v>
      </c>
      <c r="M71" s="7">
        <v>2959.0</v>
      </c>
      <c r="N71" s="7">
        <v>0.894</v>
      </c>
      <c r="O71" s="8">
        <v>2400.0</v>
      </c>
      <c r="P71" s="7">
        <v>5222.1</v>
      </c>
      <c r="Q71" s="9">
        <v>2842108.0</v>
      </c>
      <c r="R71" s="7">
        <v>1.84</v>
      </c>
      <c r="S71" s="7">
        <v>3469.0</v>
      </c>
      <c r="T71" s="7">
        <v>149.61</v>
      </c>
      <c r="U71" s="7">
        <v>14.0</v>
      </c>
      <c r="V71" s="7">
        <v>10.69</v>
      </c>
      <c r="W71" s="7">
        <v>51.0</v>
      </c>
      <c r="X71" s="7">
        <v>69.82</v>
      </c>
      <c r="Y71" s="10">
        <v>29128.0</v>
      </c>
      <c r="Z71" s="10">
        <v>2.4</v>
      </c>
      <c r="AA71" s="11">
        <v>0.0</v>
      </c>
      <c r="AB71" s="7"/>
      <c r="AC71" s="12"/>
      <c r="AD71" s="10"/>
    </row>
    <row r="72" ht="15.75" customHeight="1">
      <c r="A72" s="6">
        <v>44632.0</v>
      </c>
      <c r="B72" s="7">
        <f t="shared" si="1"/>
        <v>12</v>
      </c>
      <c r="C72" s="7">
        <f t="shared" si="2"/>
        <v>3</v>
      </c>
      <c r="D72" s="7">
        <v>8618.0</v>
      </c>
      <c r="E72" s="7">
        <v>4644.0</v>
      </c>
      <c r="F72" s="7">
        <v>8293.0</v>
      </c>
      <c r="G72" s="7">
        <v>12937.0</v>
      </c>
      <c r="H72" s="7">
        <v>108.88</v>
      </c>
      <c r="I72" s="7">
        <v>1979.0</v>
      </c>
      <c r="J72" s="7">
        <v>0.055</v>
      </c>
      <c r="K72" s="7">
        <v>1671.0</v>
      </c>
      <c r="L72" s="7">
        <v>2771.26</v>
      </c>
      <c r="M72" s="7">
        <v>3439.0</v>
      </c>
      <c r="N72" s="7">
        <v>0.806</v>
      </c>
      <c r="O72" s="8">
        <v>2787.0</v>
      </c>
      <c r="P72" s="7">
        <v>5518.61</v>
      </c>
      <c r="Q72" s="9">
        <v>2987725.0</v>
      </c>
      <c r="R72" s="7">
        <v>1.85</v>
      </c>
      <c r="S72" s="7">
        <v>3892.0</v>
      </c>
      <c r="T72" s="7">
        <v>149.69</v>
      </c>
      <c r="U72" s="7">
        <v>30.0</v>
      </c>
      <c r="V72" s="7">
        <v>4.99</v>
      </c>
      <c r="W72" s="7">
        <v>49.0</v>
      </c>
      <c r="X72" s="7">
        <v>69.56</v>
      </c>
      <c r="Y72" s="10">
        <v>31691.0</v>
      </c>
      <c r="Z72" s="10">
        <v>2.19</v>
      </c>
      <c r="AA72" s="11">
        <v>0.0</v>
      </c>
      <c r="AB72" s="7"/>
      <c r="AC72" s="12"/>
      <c r="AD72" s="10"/>
    </row>
    <row r="73" ht="15.75" customHeight="1">
      <c r="A73" s="6">
        <v>44633.0</v>
      </c>
      <c r="B73" s="7">
        <f t="shared" si="1"/>
        <v>13</v>
      </c>
      <c r="C73" s="7">
        <f t="shared" si="2"/>
        <v>3</v>
      </c>
      <c r="D73" s="7">
        <v>9353.63</v>
      </c>
      <c r="E73" s="7">
        <v>6190.0</v>
      </c>
      <c r="F73" s="7">
        <v>10194.0</v>
      </c>
      <c r="G73" s="7">
        <v>16384.0</v>
      </c>
      <c r="H73" s="7">
        <v>125.16</v>
      </c>
      <c r="I73" s="7">
        <v>2653.0</v>
      </c>
      <c r="J73" s="7">
        <v>0.047</v>
      </c>
      <c r="K73" s="7">
        <v>2207.0</v>
      </c>
      <c r="L73" s="7">
        <v>3566.82</v>
      </c>
      <c r="M73" s="7">
        <v>4561.0</v>
      </c>
      <c r="N73" s="7">
        <v>0.782</v>
      </c>
      <c r="O73" s="8">
        <v>3623.0</v>
      </c>
      <c r="P73" s="7">
        <v>5442.91</v>
      </c>
      <c r="Q73" s="9">
        <v>3408348.0</v>
      </c>
      <c r="R73" s="7">
        <v>1.6</v>
      </c>
      <c r="S73" s="7">
        <v>4295.0</v>
      </c>
      <c r="T73" s="7">
        <v>150.95</v>
      </c>
      <c r="U73" s="7">
        <v>34.0</v>
      </c>
      <c r="V73" s="7">
        <v>4.44</v>
      </c>
      <c r="W73" s="7">
        <v>66.0</v>
      </c>
      <c r="X73" s="7">
        <v>67.79</v>
      </c>
      <c r="Y73" s="10">
        <v>33043.0</v>
      </c>
      <c r="Z73" s="10">
        <v>2.05</v>
      </c>
      <c r="AA73" s="11">
        <v>0.0</v>
      </c>
      <c r="AB73" s="7"/>
      <c r="AC73" s="12"/>
      <c r="AD73" s="10"/>
    </row>
    <row r="74" ht="15.75" customHeight="1">
      <c r="A74" s="6">
        <v>44634.0</v>
      </c>
      <c r="B74" s="7">
        <f t="shared" si="1"/>
        <v>14</v>
      </c>
      <c r="C74" s="7">
        <f t="shared" si="2"/>
        <v>3</v>
      </c>
      <c r="D74" s="7">
        <v>8673.48</v>
      </c>
      <c r="E74" s="7">
        <v>6251.0</v>
      </c>
      <c r="F74" s="7">
        <v>8667.0</v>
      </c>
      <c r="G74" s="7">
        <v>14918.0</v>
      </c>
      <c r="H74" s="7">
        <v>143.41</v>
      </c>
      <c r="I74" s="7">
        <v>2386.0</v>
      </c>
      <c r="J74" s="7">
        <v>0.06</v>
      </c>
      <c r="K74" s="7">
        <v>2112.0</v>
      </c>
      <c r="L74" s="7">
        <v>3496.75</v>
      </c>
      <c r="M74" s="7">
        <v>3822.0</v>
      </c>
      <c r="N74" s="7">
        <v>0.915</v>
      </c>
      <c r="O74" s="8">
        <v>3476.0</v>
      </c>
      <c r="P74" s="7">
        <v>4755.81</v>
      </c>
      <c r="Q74" s="9">
        <v>2947029.0</v>
      </c>
      <c r="R74" s="7">
        <v>1.61</v>
      </c>
      <c r="S74" s="7">
        <v>3376.0</v>
      </c>
      <c r="T74" s="7">
        <v>208.69</v>
      </c>
      <c r="U74" s="7">
        <v>32.0</v>
      </c>
      <c r="V74" s="7">
        <v>6.52</v>
      </c>
      <c r="W74" s="7">
        <v>55.0</v>
      </c>
      <c r="X74" s="7">
        <v>68.82</v>
      </c>
      <c r="Y74" s="10">
        <v>20989.0</v>
      </c>
      <c r="Z74" s="10">
        <v>3.28</v>
      </c>
      <c r="AA74" s="11">
        <v>0.0</v>
      </c>
      <c r="AB74" s="7"/>
      <c r="AC74" s="12"/>
      <c r="AD74" s="10"/>
    </row>
    <row r="75" ht="15.75" customHeight="1">
      <c r="A75" s="6">
        <v>44635.0</v>
      </c>
      <c r="B75" s="7">
        <f t="shared" si="1"/>
        <v>15</v>
      </c>
      <c r="C75" s="7">
        <f t="shared" si="2"/>
        <v>3</v>
      </c>
      <c r="D75" s="7">
        <v>8595.24</v>
      </c>
      <c r="E75" s="7">
        <v>14282.0</v>
      </c>
      <c r="F75" s="7">
        <v>0.0</v>
      </c>
      <c r="G75" s="7">
        <v>14282.0</v>
      </c>
      <c r="H75" s="7">
        <v>158.48</v>
      </c>
      <c r="I75" s="7">
        <v>2362.0</v>
      </c>
      <c r="J75" s="7">
        <v>0.067</v>
      </c>
      <c r="K75" s="7">
        <v>0.0</v>
      </c>
      <c r="L75" s="7">
        <v>3274.78</v>
      </c>
      <c r="M75" s="7">
        <v>3646.0</v>
      </c>
      <c r="N75" s="7">
        <v>0.898</v>
      </c>
      <c r="O75" s="8">
        <v>0.0</v>
      </c>
      <c r="P75" s="7">
        <v>4890.22</v>
      </c>
      <c r="Q75" s="9">
        <v>2842061.0</v>
      </c>
      <c r="R75" s="7">
        <v>1.72</v>
      </c>
      <c r="S75" s="7">
        <v>0.0</v>
      </c>
      <c r="T75" s="7">
        <v>203.8</v>
      </c>
      <c r="U75" s="7">
        <v>37.0</v>
      </c>
      <c r="V75" s="7">
        <v>5.51</v>
      </c>
      <c r="W75" s="7">
        <v>0.0</v>
      </c>
      <c r="X75" s="7">
        <v>67.96</v>
      </c>
      <c r="Y75" s="10">
        <v>23980.0</v>
      </c>
      <c r="Z75" s="10">
        <v>2.83</v>
      </c>
      <c r="AA75" s="11">
        <v>0.0</v>
      </c>
      <c r="AB75" s="7"/>
      <c r="AC75" s="12"/>
      <c r="AD75" s="10"/>
    </row>
    <row r="76" ht="15.75" customHeight="1">
      <c r="A76" s="6">
        <v>44636.0</v>
      </c>
      <c r="B76" s="7">
        <f t="shared" si="1"/>
        <v>16</v>
      </c>
      <c r="C76" s="7">
        <f t="shared" si="2"/>
        <v>3</v>
      </c>
      <c r="D76" s="7">
        <v>8212.69</v>
      </c>
      <c r="E76" s="7">
        <v>13523.0</v>
      </c>
      <c r="F76" s="7">
        <v>0.0</v>
      </c>
      <c r="G76" s="7">
        <v>13523.0</v>
      </c>
      <c r="H76" s="7">
        <v>136.68</v>
      </c>
      <c r="I76" s="7">
        <v>2353.0</v>
      </c>
      <c r="J76" s="7">
        <v>0.058</v>
      </c>
      <c r="K76" s="7">
        <v>0.0</v>
      </c>
      <c r="L76" s="7">
        <v>2972.09</v>
      </c>
      <c r="M76" s="7">
        <v>3392.0</v>
      </c>
      <c r="N76" s="7">
        <v>0.876</v>
      </c>
      <c r="O76" s="8">
        <v>0.0</v>
      </c>
      <c r="P76" s="7">
        <v>4888.62</v>
      </c>
      <c r="Q76" s="9">
        <v>2631516.0</v>
      </c>
      <c r="R76" s="7">
        <v>1.86</v>
      </c>
      <c r="S76" s="7">
        <v>0.0</v>
      </c>
      <c r="T76" s="7">
        <v>149.35</v>
      </c>
      <c r="U76" s="7">
        <v>25.0</v>
      </c>
      <c r="V76" s="7">
        <v>5.97</v>
      </c>
      <c r="W76" s="7">
        <v>0.0</v>
      </c>
      <c r="X76" s="7">
        <v>65.95</v>
      </c>
      <c r="Y76" s="10">
        <v>22938.0</v>
      </c>
      <c r="Z76" s="10">
        <v>2.88</v>
      </c>
      <c r="AA76" s="11">
        <v>0.0</v>
      </c>
      <c r="AB76" s="7"/>
      <c r="AC76" s="12"/>
      <c r="AD76" s="10"/>
    </row>
    <row r="77" ht="15.75" customHeight="1">
      <c r="A77" s="6">
        <v>44637.0</v>
      </c>
      <c r="B77" s="7">
        <f t="shared" si="1"/>
        <v>17</v>
      </c>
      <c r="C77" s="7">
        <f t="shared" si="2"/>
        <v>3</v>
      </c>
      <c r="D77" s="7">
        <v>7727.82</v>
      </c>
      <c r="E77" s="7">
        <v>15506.0</v>
      </c>
      <c r="F77" s="7">
        <v>0.0</v>
      </c>
      <c r="G77" s="7">
        <v>15506.0</v>
      </c>
      <c r="H77" s="7">
        <v>172.42</v>
      </c>
      <c r="I77" s="7">
        <v>3543.0</v>
      </c>
      <c r="J77" s="7">
        <v>0.049</v>
      </c>
      <c r="K77" s="7">
        <v>0.0</v>
      </c>
      <c r="L77" s="7">
        <v>2767.51</v>
      </c>
      <c r="M77" s="7">
        <v>3340.0</v>
      </c>
      <c r="N77" s="7">
        <v>0.829</v>
      </c>
      <c r="O77" s="8">
        <v>0.0</v>
      </c>
      <c r="P77" s="7">
        <v>4550.51</v>
      </c>
      <c r="Q77" s="9">
        <v>2504453.0</v>
      </c>
      <c r="R77" s="7">
        <v>1.82</v>
      </c>
      <c r="S77" s="7">
        <v>0.0</v>
      </c>
      <c r="T77" s="7">
        <v>149.16</v>
      </c>
      <c r="U77" s="7">
        <v>30.0</v>
      </c>
      <c r="V77" s="7">
        <v>4.97</v>
      </c>
      <c r="W77" s="7">
        <v>0.0</v>
      </c>
      <c r="X77" s="7">
        <v>88.22</v>
      </c>
      <c r="Y77" s="10">
        <v>34339.0</v>
      </c>
      <c r="Z77" s="10">
        <v>2.57</v>
      </c>
      <c r="AA77" s="11">
        <v>0.0</v>
      </c>
      <c r="AB77" s="7"/>
      <c r="AC77" s="12"/>
      <c r="AD77" s="10"/>
    </row>
    <row r="78" ht="15.75" customHeight="1">
      <c r="A78" s="6">
        <v>44638.0</v>
      </c>
      <c r="B78" s="7">
        <f t="shared" si="1"/>
        <v>18</v>
      </c>
      <c r="C78" s="7">
        <f t="shared" si="2"/>
        <v>3</v>
      </c>
      <c r="D78" s="7">
        <v>7637.81</v>
      </c>
      <c r="E78" s="7">
        <v>7275.0</v>
      </c>
      <c r="F78" s="7">
        <v>7699.0</v>
      </c>
      <c r="G78" s="7">
        <v>14974.0</v>
      </c>
      <c r="H78" s="7">
        <v>154.17</v>
      </c>
      <c r="I78" s="7">
        <v>3150.0</v>
      </c>
      <c r="J78" s="7">
        <v>0.049</v>
      </c>
      <c r="K78" s="7">
        <v>2766.0</v>
      </c>
      <c r="L78" s="7">
        <v>2532.44</v>
      </c>
      <c r="M78" s="7">
        <v>3040.0</v>
      </c>
      <c r="N78" s="7">
        <v>0.833</v>
      </c>
      <c r="O78" s="8">
        <v>2660.0</v>
      </c>
      <c r="P78" s="7">
        <v>4741.9</v>
      </c>
      <c r="Q78" s="9">
        <v>2475778.0</v>
      </c>
      <c r="R78" s="7">
        <v>1.92</v>
      </c>
      <c r="S78" s="7">
        <v>2416.0</v>
      </c>
      <c r="T78" s="7">
        <v>149.49</v>
      </c>
      <c r="U78" s="7">
        <v>18.0</v>
      </c>
      <c r="V78" s="7">
        <v>8.31</v>
      </c>
      <c r="W78" s="7">
        <v>50.0</v>
      </c>
      <c r="X78" s="7">
        <v>59.81</v>
      </c>
      <c r="Y78" s="10">
        <v>16029.0</v>
      </c>
      <c r="Z78" s="10">
        <v>3.73</v>
      </c>
      <c r="AA78" s="11">
        <v>0.0</v>
      </c>
      <c r="AB78" s="7"/>
      <c r="AC78" s="12"/>
      <c r="AD78" s="10"/>
    </row>
    <row r="79" ht="15.75" customHeight="1">
      <c r="A79" s="6">
        <v>44639.0</v>
      </c>
      <c r="B79" s="7">
        <f t="shared" si="1"/>
        <v>19</v>
      </c>
      <c r="C79" s="7">
        <f t="shared" si="2"/>
        <v>3</v>
      </c>
      <c r="D79" s="7">
        <v>7758.65</v>
      </c>
      <c r="E79" s="7">
        <v>6146.0</v>
      </c>
      <c r="F79" s="7">
        <v>7692.0</v>
      </c>
      <c r="G79" s="7">
        <v>13838.0</v>
      </c>
      <c r="H79" s="7">
        <v>153.68</v>
      </c>
      <c r="I79" s="7">
        <v>2965.0</v>
      </c>
      <c r="J79" s="7">
        <v>0.052</v>
      </c>
      <c r="K79" s="7">
        <v>2643.0</v>
      </c>
      <c r="L79" s="7">
        <v>2444.87</v>
      </c>
      <c r="M79" s="7">
        <v>3297.0</v>
      </c>
      <c r="N79" s="7">
        <v>0.742</v>
      </c>
      <c r="O79" s="8">
        <v>2739.0</v>
      </c>
      <c r="P79" s="7">
        <v>4951.34</v>
      </c>
      <c r="Q79" s="9">
        <v>2879573.0</v>
      </c>
      <c r="R79" s="7">
        <v>1.72</v>
      </c>
      <c r="S79" s="7">
        <v>2410.0</v>
      </c>
      <c r="T79" s="7">
        <v>149.61</v>
      </c>
      <c r="U79" s="7">
        <v>27.0</v>
      </c>
      <c r="V79" s="7">
        <v>5.54</v>
      </c>
      <c r="W79" s="7">
        <v>33.0</v>
      </c>
      <c r="X79" s="7">
        <v>59.15</v>
      </c>
      <c r="Y79" s="10">
        <v>14202.0</v>
      </c>
      <c r="Z79" s="10">
        <v>4.16</v>
      </c>
      <c r="AA79" s="11">
        <v>0.0</v>
      </c>
      <c r="AB79" s="7"/>
      <c r="AC79" s="12"/>
      <c r="AD79" s="10"/>
    </row>
    <row r="80" ht="15.75" customHeight="1">
      <c r="A80" s="6">
        <v>44640.0</v>
      </c>
      <c r="B80" s="7">
        <f t="shared" si="1"/>
        <v>20</v>
      </c>
      <c r="C80" s="7">
        <f t="shared" si="2"/>
        <v>3</v>
      </c>
      <c r="D80" s="7">
        <v>9047.07</v>
      </c>
      <c r="E80" s="7">
        <v>7501.0</v>
      </c>
      <c r="F80" s="7">
        <v>10711.0</v>
      </c>
      <c r="G80" s="7">
        <v>18212.0</v>
      </c>
      <c r="H80" s="7">
        <v>181.28</v>
      </c>
      <c r="I80" s="7">
        <v>3769.0</v>
      </c>
      <c r="J80" s="7">
        <v>0.048</v>
      </c>
      <c r="K80" s="7">
        <v>3207.0</v>
      </c>
      <c r="L80" s="7">
        <v>3336.83</v>
      </c>
      <c r="M80" s="7">
        <v>4723.0</v>
      </c>
      <c r="N80" s="7">
        <v>0.707</v>
      </c>
      <c r="O80" s="8">
        <v>3925.0</v>
      </c>
      <c r="P80" s="7">
        <v>5319.8</v>
      </c>
      <c r="Q80" s="9">
        <v>3308045.0</v>
      </c>
      <c r="R80" s="7">
        <v>1.61</v>
      </c>
      <c r="S80" s="7">
        <v>3464.0</v>
      </c>
      <c r="T80" s="7">
        <v>149.27</v>
      </c>
      <c r="U80" s="7">
        <v>30.0</v>
      </c>
      <c r="V80" s="7">
        <v>4.98</v>
      </c>
      <c r="W80" s="7">
        <v>69.0</v>
      </c>
      <c r="X80" s="7">
        <v>59.89</v>
      </c>
      <c r="Y80" s="10">
        <v>19656.0</v>
      </c>
      <c r="Z80" s="10">
        <v>3.05</v>
      </c>
      <c r="AA80" s="11">
        <v>0.0</v>
      </c>
      <c r="AB80" s="7"/>
      <c r="AC80" s="12"/>
      <c r="AD80" s="10"/>
    </row>
    <row r="81" ht="15.75" customHeight="1">
      <c r="A81" s="6">
        <v>44641.0</v>
      </c>
      <c r="B81" s="7">
        <f t="shared" si="1"/>
        <v>21</v>
      </c>
      <c r="C81" s="7">
        <f t="shared" si="2"/>
        <v>3</v>
      </c>
      <c r="D81" s="7">
        <v>7949.12</v>
      </c>
      <c r="E81" s="7">
        <v>7206.0</v>
      </c>
      <c r="F81" s="7">
        <v>8850.0</v>
      </c>
      <c r="G81" s="7">
        <v>16056.0</v>
      </c>
      <c r="H81" s="7">
        <v>175.64</v>
      </c>
      <c r="I81" s="7">
        <v>3173.0</v>
      </c>
      <c r="J81" s="7">
        <v>0.055</v>
      </c>
      <c r="K81" s="7">
        <v>2906.0</v>
      </c>
      <c r="L81" s="7">
        <v>3084.82</v>
      </c>
      <c r="M81" s="7">
        <v>3955.0</v>
      </c>
      <c r="N81" s="7">
        <v>0.78</v>
      </c>
      <c r="O81" s="8">
        <v>3297.0</v>
      </c>
      <c r="P81" s="7">
        <v>4474.48</v>
      </c>
      <c r="Q81" s="9">
        <v>2683499.0</v>
      </c>
      <c r="R81" s="7">
        <v>1.67</v>
      </c>
      <c r="S81" s="7">
        <v>2703.0</v>
      </c>
      <c r="T81" s="7">
        <v>154.79</v>
      </c>
      <c r="U81" s="7">
        <v>25.0</v>
      </c>
      <c r="V81" s="7">
        <v>6.19</v>
      </c>
      <c r="W81" s="7">
        <v>52.0</v>
      </c>
      <c r="X81" s="7">
        <v>59.39</v>
      </c>
      <c r="Y81" s="10">
        <v>16664.0</v>
      </c>
      <c r="Z81" s="10">
        <v>3.56</v>
      </c>
      <c r="AA81" s="11">
        <v>0.0</v>
      </c>
      <c r="AB81" s="7"/>
      <c r="AC81" s="12"/>
      <c r="AD81" s="10"/>
    </row>
    <row r="82" ht="15.75" customHeight="1">
      <c r="A82" s="6">
        <v>44642.0</v>
      </c>
      <c r="B82" s="7">
        <f t="shared" si="1"/>
        <v>22</v>
      </c>
      <c r="C82" s="7">
        <f t="shared" si="2"/>
        <v>3</v>
      </c>
      <c r="D82" s="7">
        <v>7265.05</v>
      </c>
      <c r="E82" s="7">
        <v>6959.0</v>
      </c>
      <c r="F82" s="7">
        <v>8252.0</v>
      </c>
      <c r="G82" s="7">
        <v>15211.0</v>
      </c>
      <c r="H82" s="7">
        <v>129.81</v>
      </c>
      <c r="I82" s="7">
        <v>2849.0</v>
      </c>
      <c r="J82" s="7">
        <v>0.046</v>
      </c>
      <c r="K82" s="7">
        <v>2614.0</v>
      </c>
      <c r="L82" s="7">
        <v>2690.21</v>
      </c>
      <c r="M82" s="7">
        <v>3593.0</v>
      </c>
      <c r="N82" s="7">
        <v>0.749</v>
      </c>
      <c r="O82" s="8">
        <v>3051.0</v>
      </c>
      <c r="P82" s="7">
        <v>4215.32</v>
      </c>
      <c r="Q82" s="9">
        <v>2381595.0</v>
      </c>
      <c r="R82" s="7">
        <v>1.77</v>
      </c>
      <c r="S82" s="7">
        <v>2521.0</v>
      </c>
      <c r="T82" s="7">
        <v>154.05</v>
      </c>
      <c r="U82" s="7">
        <v>28.0</v>
      </c>
      <c r="V82" s="7">
        <v>5.5</v>
      </c>
      <c r="W82" s="7">
        <v>43.0</v>
      </c>
      <c r="X82" s="7">
        <v>75.66</v>
      </c>
      <c r="Y82" s="10">
        <v>28532.0</v>
      </c>
      <c r="Z82" s="10">
        <v>2.65</v>
      </c>
      <c r="AA82" s="11">
        <v>0.0</v>
      </c>
      <c r="AB82" s="7"/>
      <c r="AC82" s="12"/>
      <c r="AD82" s="10"/>
    </row>
    <row r="83" ht="15.75" customHeight="1">
      <c r="A83" s="6">
        <v>44643.0</v>
      </c>
      <c r="B83" s="7">
        <f t="shared" si="1"/>
        <v>23</v>
      </c>
      <c r="C83" s="7">
        <f t="shared" si="2"/>
        <v>3</v>
      </c>
      <c r="D83" s="7">
        <v>7544.81</v>
      </c>
      <c r="E83" s="7">
        <v>6949.0</v>
      </c>
      <c r="F83" s="7">
        <v>8697.0</v>
      </c>
      <c r="G83" s="7">
        <v>15646.0</v>
      </c>
      <c r="H83" s="7">
        <v>107.18</v>
      </c>
      <c r="I83" s="7">
        <v>2728.0</v>
      </c>
      <c r="J83" s="7">
        <v>0.039</v>
      </c>
      <c r="K83" s="7">
        <v>2497.0</v>
      </c>
      <c r="L83" s="7">
        <v>2791.66</v>
      </c>
      <c r="M83" s="7">
        <v>3582.0</v>
      </c>
      <c r="N83" s="7">
        <v>0.779</v>
      </c>
      <c r="O83" s="8">
        <v>3142.0</v>
      </c>
      <c r="P83" s="7">
        <v>4447.69</v>
      </c>
      <c r="Q83" s="9">
        <v>2463119.0</v>
      </c>
      <c r="R83" s="7">
        <v>1.81</v>
      </c>
      <c r="S83" s="7">
        <v>3025.0</v>
      </c>
      <c r="T83" s="7">
        <v>150.55</v>
      </c>
      <c r="U83" s="7">
        <v>35.0</v>
      </c>
      <c r="V83" s="7">
        <v>4.3</v>
      </c>
      <c r="W83" s="7">
        <v>61.0</v>
      </c>
      <c r="X83" s="7">
        <v>47.73</v>
      </c>
      <c r="Y83" s="10">
        <v>17965.0</v>
      </c>
      <c r="Z83" s="10">
        <v>2.66</v>
      </c>
      <c r="AA83" s="11">
        <v>0.0</v>
      </c>
      <c r="AB83" s="7"/>
      <c r="AC83" s="12"/>
      <c r="AD83" s="10"/>
    </row>
    <row r="84" ht="15.75" customHeight="1">
      <c r="A84" s="6">
        <v>44644.0</v>
      </c>
      <c r="B84" s="7">
        <f t="shared" si="1"/>
        <v>24</v>
      </c>
      <c r="C84" s="7">
        <f t="shared" si="2"/>
        <v>3</v>
      </c>
      <c r="D84" s="7">
        <v>8213.96</v>
      </c>
      <c r="E84" s="7">
        <v>7090.0</v>
      </c>
      <c r="F84" s="7">
        <v>8604.0</v>
      </c>
      <c r="G84" s="7">
        <v>15694.0</v>
      </c>
      <c r="H84" s="7">
        <v>116.64</v>
      </c>
      <c r="I84" s="7">
        <v>2976.0</v>
      </c>
      <c r="J84" s="7">
        <v>0.039</v>
      </c>
      <c r="K84" s="7">
        <v>2660.0</v>
      </c>
      <c r="L84" s="7">
        <v>3047.56</v>
      </c>
      <c r="M84" s="7">
        <v>3659.0</v>
      </c>
      <c r="N84" s="7">
        <v>0.833</v>
      </c>
      <c r="O84" s="8">
        <v>3083.0</v>
      </c>
      <c r="P84" s="7">
        <v>4800.59</v>
      </c>
      <c r="Q84" s="9">
        <v>2612909.0</v>
      </c>
      <c r="R84" s="7">
        <v>1.84</v>
      </c>
      <c r="S84" s="7">
        <v>2863.0</v>
      </c>
      <c r="T84" s="7">
        <v>197.85</v>
      </c>
      <c r="U84" s="7">
        <v>34.0</v>
      </c>
      <c r="V84" s="7">
        <v>5.82</v>
      </c>
      <c r="W84" s="7">
        <v>58.0</v>
      </c>
      <c r="X84" s="7">
        <v>51.32</v>
      </c>
      <c r="Y84" s="10">
        <v>16986.0</v>
      </c>
      <c r="Z84" s="10">
        <v>3.02</v>
      </c>
      <c r="AA84" s="11">
        <v>0.0</v>
      </c>
      <c r="AB84" s="7"/>
      <c r="AC84" s="12"/>
      <c r="AD84" s="10"/>
    </row>
    <row r="85" ht="15.75" customHeight="1">
      <c r="A85" s="6">
        <v>44645.0</v>
      </c>
      <c r="B85" s="7">
        <f t="shared" si="1"/>
        <v>25</v>
      </c>
      <c r="C85" s="7">
        <f t="shared" si="2"/>
        <v>3</v>
      </c>
      <c r="D85" s="7">
        <v>7970.0</v>
      </c>
      <c r="E85" s="7">
        <v>6167.0</v>
      </c>
      <c r="F85" s="7">
        <v>8136.0</v>
      </c>
      <c r="G85" s="7">
        <v>14303.0</v>
      </c>
      <c r="H85" s="7">
        <v>189.86</v>
      </c>
      <c r="I85" s="7">
        <v>2779.0</v>
      </c>
      <c r="J85" s="7">
        <v>0.068</v>
      </c>
      <c r="K85" s="7">
        <v>2415.0</v>
      </c>
      <c r="L85" s="7">
        <v>2690.21</v>
      </c>
      <c r="M85" s="7">
        <v>3392.0</v>
      </c>
      <c r="N85" s="7">
        <v>0.793</v>
      </c>
      <c r="O85" s="8">
        <v>2847.0</v>
      </c>
      <c r="P85" s="7">
        <v>4864.86</v>
      </c>
      <c r="Q85" s="9">
        <v>2713909.0</v>
      </c>
      <c r="R85" s="7">
        <v>1.79</v>
      </c>
      <c r="S85" s="7">
        <v>2969.0</v>
      </c>
      <c r="T85" s="7">
        <v>198.25</v>
      </c>
      <c r="U85" s="7">
        <v>26.0</v>
      </c>
      <c r="V85" s="7">
        <v>7.63</v>
      </c>
      <c r="W85" s="7">
        <v>53.0</v>
      </c>
      <c r="X85" s="7">
        <v>26.82</v>
      </c>
      <c r="Y85" s="10">
        <v>10734.0</v>
      </c>
      <c r="Z85" s="10">
        <v>2.5</v>
      </c>
      <c r="AA85" s="11">
        <v>0.0</v>
      </c>
      <c r="AB85" s="7"/>
      <c r="AC85" s="12"/>
      <c r="AD85" s="10"/>
    </row>
    <row r="86" ht="15.75" customHeight="1">
      <c r="A86" s="6">
        <v>44646.0</v>
      </c>
      <c r="B86" s="7">
        <f t="shared" si="1"/>
        <v>26</v>
      </c>
      <c r="C86" s="7">
        <f t="shared" si="2"/>
        <v>3</v>
      </c>
      <c r="D86" s="7">
        <v>7395.36</v>
      </c>
      <c r="E86" s="7">
        <v>7564.0</v>
      </c>
      <c r="F86" s="7">
        <v>6008.0</v>
      </c>
      <c r="G86" s="7">
        <v>13572.0</v>
      </c>
      <c r="H86" s="7">
        <v>178.7</v>
      </c>
      <c r="I86" s="7">
        <v>2744.0</v>
      </c>
      <c r="J86" s="7">
        <v>0.065</v>
      </c>
      <c r="K86" s="7">
        <v>1748.0</v>
      </c>
      <c r="L86" s="7">
        <v>2743.4</v>
      </c>
      <c r="M86" s="7">
        <v>3798.0</v>
      </c>
      <c r="N86" s="7">
        <v>0.722</v>
      </c>
      <c r="O86" s="8">
        <v>2318.0</v>
      </c>
      <c r="P86" s="7">
        <v>4243.35</v>
      </c>
      <c r="Q86" s="9">
        <v>1998783.0</v>
      </c>
      <c r="R86" s="7">
        <v>2.12</v>
      </c>
      <c r="S86" s="7">
        <v>1869.0</v>
      </c>
      <c r="T86" s="7">
        <v>197.4</v>
      </c>
      <c r="U86" s="7">
        <v>35.0</v>
      </c>
      <c r="V86" s="7">
        <v>5.64</v>
      </c>
      <c r="W86" s="7">
        <v>40.0</v>
      </c>
      <c r="X86" s="7">
        <v>32.51</v>
      </c>
      <c r="Y86" s="10">
        <v>8110.0</v>
      </c>
      <c r="Z86" s="10">
        <v>4.01</v>
      </c>
      <c r="AA86" s="11">
        <v>0.0</v>
      </c>
      <c r="AB86" s="7"/>
      <c r="AC86" s="12"/>
      <c r="AD86" s="10"/>
    </row>
    <row r="87" ht="15.75" customHeight="1">
      <c r="A87" s="6">
        <v>44647.0</v>
      </c>
      <c r="B87" s="7">
        <f t="shared" si="1"/>
        <v>27</v>
      </c>
      <c r="C87" s="7">
        <f t="shared" si="2"/>
        <v>3</v>
      </c>
      <c r="D87" s="7">
        <v>8713.95</v>
      </c>
      <c r="E87" s="7">
        <v>6445.0</v>
      </c>
      <c r="F87" s="7">
        <v>9277.0</v>
      </c>
      <c r="G87" s="7">
        <v>15722.0</v>
      </c>
      <c r="H87" s="7">
        <v>180.0</v>
      </c>
      <c r="I87" s="7">
        <v>3368.0</v>
      </c>
      <c r="J87" s="7">
        <v>0.053</v>
      </c>
      <c r="K87" s="7">
        <v>2558.0</v>
      </c>
      <c r="L87" s="7">
        <v>3787.01</v>
      </c>
      <c r="M87" s="7">
        <v>5121.0</v>
      </c>
      <c r="N87" s="7">
        <v>0.74</v>
      </c>
      <c r="O87" s="8">
        <v>3883.0</v>
      </c>
      <c r="P87" s="7">
        <v>4510.47</v>
      </c>
      <c r="Q87" s="9">
        <v>2527749.0</v>
      </c>
      <c r="R87" s="7">
        <v>1.78</v>
      </c>
      <c r="S87" s="7">
        <v>2973.0</v>
      </c>
      <c r="T87" s="7">
        <v>199.18</v>
      </c>
      <c r="U87" s="7">
        <v>42.0</v>
      </c>
      <c r="V87" s="7">
        <v>4.74</v>
      </c>
      <c r="W87" s="7">
        <v>69.0</v>
      </c>
      <c r="X87" s="7">
        <v>37.29</v>
      </c>
      <c r="Y87" s="10">
        <v>13028.0</v>
      </c>
      <c r="Z87" s="10">
        <v>2.86</v>
      </c>
      <c r="AA87" s="11">
        <v>0.0</v>
      </c>
      <c r="AB87" s="7"/>
      <c r="AC87" s="12"/>
      <c r="AD87" s="10"/>
    </row>
    <row r="88" ht="15.75" customHeight="1">
      <c r="A88" s="6">
        <v>44648.0</v>
      </c>
      <c r="B88" s="7">
        <f t="shared" si="1"/>
        <v>28</v>
      </c>
      <c r="C88" s="7">
        <f t="shared" si="2"/>
        <v>3</v>
      </c>
      <c r="D88" s="7">
        <v>9266.75</v>
      </c>
      <c r="E88" s="7">
        <v>7205.0</v>
      </c>
      <c r="F88" s="7">
        <v>9615.0</v>
      </c>
      <c r="G88" s="7">
        <v>16820.0</v>
      </c>
      <c r="H88" s="7">
        <v>231.76</v>
      </c>
      <c r="I88" s="7">
        <v>3280.0</v>
      </c>
      <c r="J88" s="7">
        <v>0.071</v>
      </c>
      <c r="K88" s="7">
        <v>2753.0</v>
      </c>
      <c r="L88" s="7">
        <v>4280.01</v>
      </c>
      <c r="M88" s="7">
        <v>5193.0</v>
      </c>
      <c r="N88" s="7">
        <v>0.824</v>
      </c>
      <c r="O88" s="8">
        <v>4140.0</v>
      </c>
      <c r="P88" s="7">
        <v>4380.28</v>
      </c>
      <c r="Q88" s="9">
        <v>2566537.0</v>
      </c>
      <c r="R88" s="7">
        <v>1.71</v>
      </c>
      <c r="S88" s="7">
        <v>2573.0</v>
      </c>
      <c r="T88" s="7">
        <v>304.86</v>
      </c>
      <c r="U88" s="7">
        <v>51.0</v>
      </c>
      <c r="V88" s="7">
        <v>5.98</v>
      </c>
      <c r="W88" s="7">
        <v>87.0</v>
      </c>
      <c r="X88" s="7">
        <v>69.84</v>
      </c>
      <c r="Y88" s="10">
        <v>28024.0</v>
      </c>
      <c r="Z88" s="10">
        <v>2.49</v>
      </c>
      <c r="AA88" s="11">
        <v>0.0</v>
      </c>
      <c r="AB88" s="7"/>
      <c r="AC88" s="12"/>
      <c r="AD88" s="10"/>
    </row>
    <row r="89" ht="15.75" customHeight="1">
      <c r="A89" s="6">
        <v>44649.0</v>
      </c>
      <c r="B89" s="7">
        <f t="shared" si="1"/>
        <v>29</v>
      </c>
      <c r="C89" s="7">
        <f t="shared" si="2"/>
        <v>3</v>
      </c>
      <c r="D89" s="7">
        <v>9698.15</v>
      </c>
      <c r="E89" s="7">
        <v>7663.0</v>
      </c>
      <c r="F89" s="7">
        <v>9250.0</v>
      </c>
      <c r="G89" s="7">
        <v>16913.0</v>
      </c>
      <c r="H89" s="7">
        <v>231.71</v>
      </c>
      <c r="I89" s="7">
        <v>3154.0</v>
      </c>
      <c r="J89" s="7">
        <v>0.073</v>
      </c>
      <c r="K89" s="7">
        <v>2524.0</v>
      </c>
      <c r="L89" s="7">
        <v>4076.73</v>
      </c>
      <c r="M89" s="7">
        <v>5042.0</v>
      </c>
      <c r="N89" s="7">
        <v>0.809</v>
      </c>
      <c r="O89" s="8">
        <v>4064.0</v>
      </c>
      <c r="P89" s="7">
        <v>5018.01</v>
      </c>
      <c r="Q89" s="9">
        <v>2791670.0</v>
      </c>
      <c r="R89" s="7">
        <v>1.8</v>
      </c>
      <c r="S89" s="7">
        <v>2643.0</v>
      </c>
      <c r="T89" s="7">
        <v>302.77</v>
      </c>
      <c r="U89" s="7">
        <v>70.0</v>
      </c>
      <c r="V89" s="7">
        <v>4.33</v>
      </c>
      <c r="W89" s="7">
        <v>66.0</v>
      </c>
      <c r="X89" s="7">
        <v>68.93</v>
      </c>
      <c r="Y89" s="10">
        <v>21951.0</v>
      </c>
      <c r="Z89" s="10">
        <v>3.14</v>
      </c>
      <c r="AA89" s="11">
        <v>0.0</v>
      </c>
      <c r="AB89" s="7"/>
      <c r="AC89" s="12"/>
      <c r="AD89" s="10"/>
    </row>
    <row r="90" ht="15.75" customHeight="1">
      <c r="A90" s="6">
        <v>44650.0</v>
      </c>
      <c r="B90" s="7">
        <f t="shared" si="1"/>
        <v>30</v>
      </c>
      <c r="C90" s="7">
        <f t="shared" si="2"/>
        <v>3</v>
      </c>
      <c r="D90" s="7">
        <v>9506.28</v>
      </c>
      <c r="E90" s="7">
        <v>8849.0</v>
      </c>
      <c r="F90" s="7">
        <v>8707.0</v>
      </c>
      <c r="G90" s="7">
        <v>17556.0</v>
      </c>
      <c r="H90" s="7">
        <v>212.0</v>
      </c>
      <c r="I90" s="7">
        <v>3335.0</v>
      </c>
      <c r="J90" s="7">
        <v>0.064</v>
      </c>
      <c r="K90" s="7">
        <v>2635.0</v>
      </c>
      <c r="L90" s="7">
        <v>4080.14</v>
      </c>
      <c r="M90" s="7">
        <v>5043.0</v>
      </c>
      <c r="N90" s="7">
        <v>0.809</v>
      </c>
      <c r="O90" s="8">
        <v>3954.0</v>
      </c>
      <c r="P90" s="7">
        <v>4845.36</v>
      </c>
      <c r="Q90" s="9">
        <v>2247893.0</v>
      </c>
      <c r="R90" s="7">
        <v>2.16</v>
      </c>
      <c r="S90" s="7">
        <v>2134.0</v>
      </c>
      <c r="T90" s="7">
        <v>299.47</v>
      </c>
      <c r="U90" s="7">
        <v>83.0</v>
      </c>
      <c r="V90" s="7">
        <v>3.61</v>
      </c>
      <c r="W90" s="7">
        <v>53.0</v>
      </c>
      <c r="X90" s="7">
        <v>69.31</v>
      </c>
      <c r="Y90" s="10">
        <v>24964.0</v>
      </c>
      <c r="Z90" s="10">
        <v>2.78</v>
      </c>
      <c r="AA90" s="11">
        <v>0.0</v>
      </c>
      <c r="AB90" s="7"/>
      <c r="AC90" s="12"/>
      <c r="AD90" s="10"/>
    </row>
    <row r="91" ht="15.75" customHeight="1">
      <c r="A91" s="6">
        <v>44651.0</v>
      </c>
      <c r="B91" s="7">
        <f t="shared" si="1"/>
        <v>31</v>
      </c>
      <c r="C91" s="7">
        <f t="shared" si="2"/>
        <v>3</v>
      </c>
      <c r="D91" s="7">
        <v>9541.8</v>
      </c>
      <c r="E91" s="7">
        <v>8281.0</v>
      </c>
      <c r="F91" s="7">
        <v>9664.0</v>
      </c>
      <c r="G91" s="7">
        <v>17945.0</v>
      </c>
      <c r="H91" s="7">
        <v>203.74</v>
      </c>
      <c r="I91" s="7">
        <v>3578.0</v>
      </c>
      <c r="J91" s="7">
        <v>0.057</v>
      </c>
      <c r="K91" s="7">
        <v>3067.0</v>
      </c>
      <c r="L91" s="7">
        <v>3571.77</v>
      </c>
      <c r="M91" s="7">
        <v>4639.0</v>
      </c>
      <c r="N91" s="7">
        <v>0.77</v>
      </c>
      <c r="O91" s="8">
        <v>3628.0</v>
      </c>
      <c r="P91" s="7">
        <v>5398.07</v>
      </c>
      <c r="Q91" s="9">
        <v>2905809.0</v>
      </c>
      <c r="R91" s="7">
        <v>1.86</v>
      </c>
      <c r="S91" s="7">
        <v>3162.0</v>
      </c>
      <c r="T91" s="7">
        <v>293.67</v>
      </c>
      <c r="U91" s="7">
        <v>52.0</v>
      </c>
      <c r="V91" s="7">
        <v>5.65</v>
      </c>
      <c r="W91" s="7">
        <v>66.0</v>
      </c>
      <c r="X91" s="7">
        <v>74.55</v>
      </c>
      <c r="Y91" s="10">
        <v>28737.0</v>
      </c>
      <c r="Z91" s="10">
        <v>2.59</v>
      </c>
      <c r="AA91" s="11">
        <v>0.0</v>
      </c>
      <c r="AB91" s="7"/>
      <c r="AC91" s="12"/>
      <c r="AD91" s="10"/>
    </row>
    <row r="92" ht="15.75" customHeight="1">
      <c r="A92" s="6">
        <v>44652.0</v>
      </c>
      <c r="B92" s="7">
        <f t="shared" si="1"/>
        <v>1</v>
      </c>
      <c r="C92" s="7">
        <f t="shared" si="2"/>
        <v>4</v>
      </c>
      <c r="D92" s="7">
        <v>9160.8</v>
      </c>
      <c r="E92" s="7">
        <v>9699.0</v>
      </c>
      <c r="F92" s="7">
        <v>9377.0</v>
      </c>
      <c r="G92" s="7">
        <v>19076.0</v>
      </c>
      <c r="H92" s="7">
        <v>212.31</v>
      </c>
      <c r="I92" s="7">
        <v>3230.0</v>
      </c>
      <c r="J92" s="7">
        <v>0.066</v>
      </c>
      <c r="K92" s="7">
        <v>2648.0</v>
      </c>
      <c r="L92" s="7">
        <v>3343.26</v>
      </c>
      <c r="M92" s="7">
        <v>4440.0</v>
      </c>
      <c r="N92" s="7">
        <v>0.753</v>
      </c>
      <c r="O92" s="8">
        <v>3432.0</v>
      </c>
      <c r="P92" s="7">
        <v>5233.07</v>
      </c>
      <c r="Q92" s="9">
        <v>3145910.0</v>
      </c>
      <c r="R92" s="7">
        <v>1.66</v>
      </c>
      <c r="S92" s="7">
        <v>3275.0</v>
      </c>
      <c r="T92" s="7">
        <v>302.82</v>
      </c>
      <c r="U92" s="7">
        <v>58.0</v>
      </c>
      <c r="V92" s="7">
        <v>5.22</v>
      </c>
      <c r="W92" s="7">
        <v>56.0</v>
      </c>
      <c r="X92" s="7">
        <v>69.34</v>
      </c>
      <c r="Y92" s="10">
        <v>31352.0</v>
      </c>
      <c r="Z92" s="10">
        <v>2.21</v>
      </c>
      <c r="AA92" s="11">
        <v>0.0</v>
      </c>
      <c r="AB92" s="7"/>
      <c r="AC92" s="12"/>
      <c r="AD92" s="10"/>
    </row>
    <row r="93" ht="15.75" customHeight="1">
      <c r="A93" s="6">
        <v>44653.0</v>
      </c>
      <c r="B93" s="7">
        <f t="shared" si="1"/>
        <v>2</v>
      </c>
      <c r="C93" s="7">
        <f t="shared" si="2"/>
        <v>4</v>
      </c>
      <c r="D93" s="7">
        <v>10111.77</v>
      </c>
      <c r="E93" s="7">
        <v>7516.0</v>
      </c>
      <c r="F93" s="7">
        <v>10943.0</v>
      </c>
      <c r="G93" s="7">
        <v>18459.0</v>
      </c>
      <c r="H93" s="7">
        <v>192.2</v>
      </c>
      <c r="I93" s="7">
        <v>3343.0</v>
      </c>
      <c r="J93" s="7">
        <v>0.057</v>
      </c>
      <c r="K93" s="7">
        <v>2745.0</v>
      </c>
      <c r="L93" s="7">
        <v>3848.51</v>
      </c>
      <c r="M93" s="7">
        <v>5335.0</v>
      </c>
      <c r="N93" s="7">
        <v>0.721</v>
      </c>
      <c r="O93" s="8">
        <v>4105.0</v>
      </c>
      <c r="P93" s="7">
        <v>5698.74</v>
      </c>
      <c r="Q93" s="9">
        <v>3507669.0</v>
      </c>
      <c r="R93" s="7">
        <v>1.62</v>
      </c>
      <c r="S93" s="7">
        <v>4145.0</v>
      </c>
      <c r="T93" s="7">
        <v>302.76</v>
      </c>
      <c r="U93" s="7">
        <v>56.0</v>
      </c>
      <c r="V93" s="7">
        <v>5.41</v>
      </c>
      <c r="W93" s="7">
        <v>73.0</v>
      </c>
      <c r="X93" s="7">
        <v>69.56</v>
      </c>
      <c r="Y93" s="10">
        <v>36977.0</v>
      </c>
      <c r="Z93" s="10">
        <v>1.88</v>
      </c>
      <c r="AA93" s="11">
        <v>0.0</v>
      </c>
      <c r="AB93" s="7"/>
      <c r="AC93" s="12"/>
      <c r="AD93" s="10"/>
    </row>
    <row r="94" ht="15.75" customHeight="1">
      <c r="A94" s="6">
        <v>44654.0</v>
      </c>
      <c r="B94" s="7">
        <f t="shared" si="1"/>
        <v>3</v>
      </c>
      <c r="C94" s="7">
        <f t="shared" si="2"/>
        <v>4</v>
      </c>
      <c r="D94" s="7">
        <v>10723.1</v>
      </c>
      <c r="E94" s="7">
        <v>8362.0</v>
      </c>
      <c r="F94" s="7">
        <v>13011.0</v>
      </c>
      <c r="G94" s="7">
        <v>21373.0</v>
      </c>
      <c r="H94" s="7">
        <v>254.68</v>
      </c>
      <c r="I94" s="7">
        <v>4076.0</v>
      </c>
      <c r="J94" s="7">
        <v>0.062</v>
      </c>
      <c r="K94" s="7">
        <v>3242.0</v>
      </c>
      <c r="L94" s="7">
        <v>4440.03</v>
      </c>
      <c r="M94" s="7">
        <v>6598.0</v>
      </c>
      <c r="N94" s="7">
        <v>0.673</v>
      </c>
      <c r="O94" s="8">
        <v>5311.0</v>
      </c>
      <c r="P94" s="7">
        <v>5656.04</v>
      </c>
      <c r="Q94" s="9">
        <v>3650033.0</v>
      </c>
      <c r="R94" s="7">
        <v>1.55</v>
      </c>
      <c r="S94" s="7">
        <v>4466.0</v>
      </c>
      <c r="T94" s="7">
        <v>302.38</v>
      </c>
      <c r="U94" s="7">
        <v>70.0</v>
      </c>
      <c r="V94" s="7">
        <v>4.32</v>
      </c>
      <c r="W94" s="7">
        <v>70.0</v>
      </c>
      <c r="X94" s="7">
        <v>69.97</v>
      </c>
      <c r="Y94" s="10">
        <v>38621.0</v>
      </c>
      <c r="Z94" s="10">
        <v>1.81</v>
      </c>
      <c r="AA94" s="11">
        <v>0.0</v>
      </c>
      <c r="AB94" s="7"/>
      <c r="AC94" s="12"/>
      <c r="AD94" s="10"/>
    </row>
    <row r="95" ht="15.75" customHeight="1">
      <c r="A95" s="6">
        <v>44655.0</v>
      </c>
      <c r="B95" s="7">
        <f t="shared" si="1"/>
        <v>4</v>
      </c>
      <c r="C95" s="7">
        <f t="shared" si="2"/>
        <v>4</v>
      </c>
      <c r="D95" s="7">
        <v>9789.05</v>
      </c>
      <c r="E95" s="7">
        <v>14758.0</v>
      </c>
      <c r="F95" s="7">
        <v>12378.0</v>
      </c>
      <c r="G95" s="7">
        <v>27136.0</v>
      </c>
      <c r="H95" s="7">
        <v>292.21</v>
      </c>
      <c r="I95" s="7">
        <v>5210.0</v>
      </c>
      <c r="J95" s="7">
        <v>0.056</v>
      </c>
      <c r="K95" s="7">
        <v>4338.0</v>
      </c>
      <c r="L95" s="7">
        <v>3985.34</v>
      </c>
      <c r="M95" s="7">
        <v>5370.0</v>
      </c>
      <c r="N95" s="7">
        <v>0.742</v>
      </c>
      <c r="O95" s="8">
        <v>4386.0</v>
      </c>
      <c r="P95" s="7">
        <v>5108.79</v>
      </c>
      <c r="Q95" s="9">
        <v>3273652.0</v>
      </c>
      <c r="R95" s="7">
        <v>1.56</v>
      </c>
      <c r="S95" s="7">
        <v>3580.0</v>
      </c>
      <c r="T95" s="7">
        <v>316.96</v>
      </c>
      <c r="U95" s="7">
        <v>73.0</v>
      </c>
      <c r="V95" s="7">
        <v>4.34</v>
      </c>
      <c r="W95" s="7">
        <v>95.0</v>
      </c>
      <c r="X95" s="7">
        <v>85.75</v>
      </c>
      <c r="Y95" s="10">
        <v>46199.0</v>
      </c>
      <c r="Z95" s="10">
        <v>1.86</v>
      </c>
      <c r="AA95" s="11">
        <v>0.0</v>
      </c>
      <c r="AB95" s="7"/>
      <c r="AC95" s="12"/>
      <c r="AD95" s="10"/>
    </row>
    <row r="96" ht="15.75" customHeight="1">
      <c r="A96" s="6">
        <v>44656.0</v>
      </c>
      <c r="B96" s="7">
        <f t="shared" si="1"/>
        <v>5</v>
      </c>
      <c r="C96" s="7">
        <f t="shared" si="2"/>
        <v>4</v>
      </c>
      <c r="D96" s="7">
        <v>9840.64</v>
      </c>
      <c r="E96" s="7">
        <v>9361.0</v>
      </c>
      <c r="F96" s="7">
        <v>10445.0</v>
      </c>
      <c r="G96" s="7">
        <v>19806.0</v>
      </c>
      <c r="H96" s="7">
        <v>250.41</v>
      </c>
      <c r="I96" s="7">
        <v>3754.0</v>
      </c>
      <c r="J96" s="7">
        <v>0.067</v>
      </c>
      <c r="K96" s="7">
        <v>3165.0</v>
      </c>
      <c r="L96" s="7">
        <v>3696.04</v>
      </c>
      <c r="M96" s="7">
        <v>4892.0</v>
      </c>
      <c r="N96" s="7">
        <v>0.756</v>
      </c>
      <c r="O96" s="8">
        <v>3975.0</v>
      </c>
      <c r="P96" s="7">
        <v>5508.8</v>
      </c>
      <c r="Q96" s="9">
        <v>3445672.0</v>
      </c>
      <c r="R96" s="7">
        <v>1.6</v>
      </c>
      <c r="S96" s="7">
        <v>3517.0</v>
      </c>
      <c r="T96" s="7">
        <v>315.55</v>
      </c>
      <c r="U96" s="7">
        <v>58.0</v>
      </c>
      <c r="V96" s="7">
        <v>5.44</v>
      </c>
      <c r="W96" s="7">
        <v>63.0</v>
      </c>
      <c r="X96" s="7">
        <v>69.84</v>
      </c>
      <c r="Y96" s="10">
        <v>34364.0</v>
      </c>
      <c r="Z96" s="10">
        <v>2.03</v>
      </c>
      <c r="AA96" s="11">
        <v>0.0</v>
      </c>
      <c r="AB96" s="7"/>
      <c r="AC96" s="12"/>
      <c r="AD96" s="10"/>
    </row>
    <row r="97" ht="15.75" customHeight="1">
      <c r="A97" s="6">
        <v>44657.0</v>
      </c>
      <c r="B97" s="7">
        <f t="shared" si="1"/>
        <v>6</v>
      </c>
      <c r="C97" s="7">
        <f t="shared" si="2"/>
        <v>4</v>
      </c>
      <c r="D97" s="7">
        <v>9210.57</v>
      </c>
      <c r="E97" s="7">
        <v>8593.0</v>
      </c>
      <c r="F97" s="7">
        <v>9721.0</v>
      </c>
      <c r="G97" s="7">
        <v>18314.0</v>
      </c>
      <c r="H97" s="7">
        <v>279.61</v>
      </c>
      <c r="I97" s="7">
        <v>3464.0</v>
      </c>
      <c r="J97" s="7">
        <v>0.081</v>
      </c>
      <c r="K97" s="7">
        <v>2893.0</v>
      </c>
      <c r="L97" s="7">
        <v>3686.67</v>
      </c>
      <c r="M97" s="7">
        <v>4657.0</v>
      </c>
      <c r="N97" s="7">
        <v>0.792</v>
      </c>
      <c r="O97" s="8">
        <v>3602.0</v>
      </c>
      <c r="P97" s="7">
        <v>4866.77</v>
      </c>
      <c r="Q97" s="9">
        <v>2980970.0</v>
      </c>
      <c r="R97" s="7">
        <v>1.63</v>
      </c>
      <c r="S97" s="7">
        <v>3149.0</v>
      </c>
      <c r="T97" s="7">
        <v>307.52</v>
      </c>
      <c r="U97" s="7">
        <v>64.0</v>
      </c>
      <c r="V97" s="7">
        <v>4.81</v>
      </c>
      <c r="W97" s="7">
        <v>54.0</v>
      </c>
      <c r="X97" s="7">
        <v>70.0</v>
      </c>
      <c r="Y97" s="10">
        <v>33307.0</v>
      </c>
      <c r="Z97" s="10">
        <v>2.1</v>
      </c>
      <c r="AA97" s="11">
        <v>0.0</v>
      </c>
      <c r="AB97" s="7"/>
      <c r="AC97" s="12"/>
      <c r="AD97" s="10"/>
    </row>
    <row r="98" ht="15.75" customHeight="1">
      <c r="A98" s="6">
        <v>44658.0</v>
      </c>
      <c r="B98" s="7">
        <f t="shared" si="1"/>
        <v>7</v>
      </c>
      <c r="C98" s="7">
        <f t="shared" si="2"/>
        <v>4</v>
      </c>
      <c r="D98" s="7">
        <v>9309.37</v>
      </c>
      <c r="E98" s="7">
        <v>8281.0</v>
      </c>
      <c r="F98" s="7">
        <v>9397.0</v>
      </c>
      <c r="G98" s="7">
        <v>17678.0</v>
      </c>
      <c r="H98" s="7">
        <v>274.46</v>
      </c>
      <c r="I98" s="7">
        <v>3602.0</v>
      </c>
      <c r="J98" s="7">
        <v>0.076</v>
      </c>
      <c r="K98" s="7">
        <v>3038.0</v>
      </c>
      <c r="L98" s="7">
        <v>3799.07</v>
      </c>
      <c r="M98" s="7">
        <v>4744.0</v>
      </c>
      <c r="N98" s="7">
        <v>0.801</v>
      </c>
      <c r="O98" s="8">
        <v>3868.0</v>
      </c>
      <c r="P98" s="7">
        <v>4856.81</v>
      </c>
      <c r="Q98" s="9">
        <v>2898580.0</v>
      </c>
      <c r="R98" s="7">
        <v>1.68</v>
      </c>
      <c r="S98" s="7">
        <v>2701.0</v>
      </c>
      <c r="T98" s="7">
        <v>307.41</v>
      </c>
      <c r="U98" s="7">
        <v>62.0</v>
      </c>
      <c r="V98" s="7">
        <v>4.96</v>
      </c>
      <c r="W98" s="7">
        <v>75.0</v>
      </c>
      <c r="X98" s="7">
        <v>71.62</v>
      </c>
      <c r="Y98" s="10">
        <v>32931.0</v>
      </c>
      <c r="Z98" s="10">
        <v>2.17</v>
      </c>
      <c r="AA98" s="11">
        <v>0.0</v>
      </c>
      <c r="AB98" s="7"/>
      <c r="AC98" s="12"/>
      <c r="AD98" s="10"/>
    </row>
    <row r="99" ht="15.75" customHeight="1">
      <c r="A99" s="6">
        <v>44659.0</v>
      </c>
      <c r="B99" s="7">
        <f t="shared" si="1"/>
        <v>8</v>
      </c>
      <c r="C99" s="7">
        <f t="shared" si="2"/>
        <v>4</v>
      </c>
      <c r="D99" s="7">
        <v>9723.31</v>
      </c>
      <c r="E99" s="7">
        <v>7079.0</v>
      </c>
      <c r="F99" s="7">
        <v>9134.0</v>
      </c>
      <c r="G99" s="7">
        <v>16213.0</v>
      </c>
      <c r="H99" s="7">
        <v>190.55</v>
      </c>
      <c r="I99" s="7">
        <v>3244.0</v>
      </c>
      <c r="J99" s="7">
        <v>0.059</v>
      </c>
      <c r="K99" s="7">
        <v>2771.0</v>
      </c>
      <c r="L99" s="7">
        <v>3671.24</v>
      </c>
      <c r="M99" s="7">
        <v>4408.0</v>
      </c>
      <c r="N99" s="7">
        <v>0.833</v>
      </c>
      <c r="O99" s="8">
        <v>3501.0</v>
      </c>
      <c r="P99" s="7">
        <v>5501.13</v>
      </c>
      <c r="Q99" s="9">
        <v>3108288.0</v>
      </c>
      <c r="R99" s="7">
        <v>1.77</v>
      </c>
      <c r="S99" s="7">
        <v>2806.0</v>
      </c>
      <c r="T99" s="7">
        <v>302.62</v>
      </c>
      <c r="U99" s="7">
        <v>80.0</v>
      </c>
      <c r="V99" s="7">
        <v>3.78</v>
      </c>
      <c r="W99" s="7">
        <v>45.0</v>
      </c>
      <c r="X99" s="7">
        <v>57.77</v>
      </c>
      <c r="Y99" s="10">
        <v>18379.0</v>
      </c>
      <c r="Z99" s="10">
        <v>3.14</v>
      </c>
      <c r="AA99" s="11">
        <v>0.0</v>
      </c>
      <c r="AB99" s="7"/>
      <c r="AC99" s="12"/>
      <c r="AD99" s="10"/>
    </row>
    <row r="100" ht="15.75" customHeight="1">
      <c r="A100" s="6">
        <v>44660.0</v>
      </c>
      <c r="B100" s="7">
        <f t="shared" si="1"/>
        <v>9</v>
      </c>
      <c r="C100" s="7">
        <f t="shared" si="2"/>
        <v>4</v>
      </c>
      <c r="D100" s="7">
        <v>10969.49</v>
      </c>
      <c r="E100" s="7">
        <v>7282.0</v>
      </c>
      <c r="F100" s="7">
        <v>11227.0</v>
      </c>
      <c r="G100" s="7">
        <v>18509.0</v>
      </c>
      <c r="H100" s="7">
        <v>206.34</v>
      </c>
      <c r="I100" s="7">
        <v>3492.0</v>
      </c>
      <c r="J100" s="7">
        <v>0.059</v>
      </c>
      <c r="K100" s="7">
        <v>2934.0</v>
      </c>
      <c r="L100" s="7">
        <v>3843.08</v>
      </c>
      <c r="M100" s="7">
        <v>5109.0</v>
      </c>
      <c r="N100" s="7">
        <v>0.752</v>
      </c>
      <c r="O100" s="8">
        <v>3936.0</v>
      </c>
      <c r="P100" s="7">
        <v>6548.94</v>
      </c>
      <c r="Q100" s="9">
        <v>3745358.0</v>
      </c>
      <c r="R100" s="7">
        <v>1.75</v>
      </c>
      <c r="S100" s="7">
        <v>4426.0</v>
      </c>
      <c r="T100" s="7">
        <v>302.34</v>
      </c>
      <c r="U100" s="7">
        <v>71.0</v>
      </c>
      <c r="V100" s="7">
        <v>4.26</v>
      </c>
      <c r="W100" s="7">
        <v>45.0</v>
      </c>
      <c r="X100" s="7">
        <v>68.79</v>
      </c>
      <c r="Y100" s="10">
        <v>24149.0</v>
      </c>
      <c r="Z100" s="10">
        <v>2.85</v>
      </c>
      <c r="AA100" s="11">
        <v>0.0</v>
      </c>
      <c r="AB100" s="7"/>
      <c r="AC100" s="12"/>
      <c r="AD100" s="10"/>
    </row>
    <row r="101" ht="15.75" customHeight="1">
      <c r="A101" s="6">
        <v>44661.0</v>
      </c>
      <c r="B101" s="7">
        <f t="shared" si="1"/>
        <v>10</v>
      </c>
      <c r="C101" s="7">
        <f t="shared" si="2"/>
        <v>4</v>
      </c>
      <c r="D101" s="7">
        <v>11997.17</v>
      </c>
      <c r="E101" s="7">
        <v>7940.0</v>
      </c>
      <c r="F101" s="7">
        <v>13209.0</v>
      </c>
      <c r="G101" s="7">
        <v>21149.0</v>
      </c>
      <c r="H101" s="7">
        <v>265.1</v>
      </c>
      <c r="I101" s="7">
        <v>4029.0</v>
      </c>
      <c r="J101" s="7">
        <v>0.066</v>
      </c>
      <c r="K101" s="7">
        <v>3174.0</v>
      </c>
      <c r="L101" s="7">
        <v>4431.95</v>
      </c>
      <c r="M101" s="7">
        <v>6160.0</v>
      </c>
      <c r="N101" s="7">
        <v>0.719</v>
      </c>
      <c r="O101" s="8">
        <v>4959.0</v>
      </c>
      <c r="P101" s="7">
        <v>6933.14</v>
      </c>
      <c r="Q101" s="9">
        <v>4358683.0</v>
      </c>
      <c r="R101" s="7">
        <v>1.59</v>
      </c>
      <c r="S101" s="7">
        <v>5305.0</v>
      </c>
      <c r="T101" s="7">
        <v>302.33</v>
      </c>
      <c r="U101" s="7">
        <v>78.0</v>
      </c>
      <c r="V101" s="7">
        <v>3.88</v>
      </c>
      <c r="W101" s="7">
        <v>61.0</v>
      </c>
      <c r="X101" s="7">
        <v>64.65</v>
      </c>
      <c r="Y101" s="10">
        <v>23999.0</v>
      </c>
      <c r="Z101" s="10">
        <v>2.69</v>
      </c>
      <c r="AA101" s="11">
        <v>0.0</v>
      </c>
      <c r="AB101" s="7"/>
      <c r="AC101" s="12"/>
      <c r="AD101" s="10"/>
    </row>
    <row r="102" ht="15.75" customHeight="1">
      <c r="A102" s="6">
        <v>44662.0</v>
      </c>
      <c r="B102" s="7">
        <f t="shared" si="1"/>
        <v>11</v>
      </c>
      <c r="C102" s="7">
        <f t="shared" si="2"/>
        <v>4</v>
      </c>
      <c r="D102" s="7">
        <v>11862.05</v>
      </c>
      <c r="E102" s="7">
        <v>9072.0</v>
      </c>
      <c r="F102" s="7">
        <v>12738.0</v>
      </c>
      <c r="G102" s="7">
        <v>21810.0</v>
      </c>
      <c r="H102" s="7">
        <v>259.07</v>
      </c>
      <c r="I102" s="7">
        <v>4285.0</v>
      </c>
      <c r="J102" s="7">
        <v>0.06</v>
      </c>
      <c r="K102" s="7">
        <v>3671.0</v>
      </c>
      <c r="L102" s="13">
        <v>4530.16</v>
      </c>
      <c r="M102" s="7">
        <v>5494.0</v>
      </c>
      <c r="N102" s="7">
        <v>0.825</v>
      </c>
      <c r="O102" s="8">
        <v>4402.0</v>
      </c>
      <c r="P102" s="13">
        <v>6674.82</v>
      </c>
      <c r="Q102" s="9">
        <v>3994123.0</v>
      </c>
      <c r="R102" s="7">
        <v>1.67</v>
      </c>
      <c r="S102" s="7">
        <v>4623.0</v>
      </c>
      <c r="T102" s="7">
        <v>320.49</v>
      </c>
      <c r="U102" s="7">
        <v>73.0</v>
      </c>
      <c r="V102" s="7">
        <v>4.39</v>
      </c>
      <c r="W102" s="7">
        <v>68.0</v>
      </c>
      <c r="X102" s="7">
        <v>77.51</v>
      </c>
      <c r="Y102" s="10">
        <v>35298.0</v>
      </c>
      <c r="Z102" s="10">
        <v>2.2</v>
      </c>
      <c r="AA102" s="11">
        <v>0.0</v>
      </c>
      <c r="AB102" s="7"/>
      <c r="AC102" s="12"/>
      <c r="AD102" s="10"/>
    </row>
    <row r="103" ht="15.75" customHeight="1">
      <c r="A103" s="6">
        <v>44663.0</v>
      </c>
      <c r="B103" s="7">
        <f t="shared" si="1"/>
        <v>12</v>
      </c>
      <c r="C103" s="7">
        <f t="shared" si="2"/>
        <v>4</v>
      </c>
      <c r="D103" s="7">
        <v>9567.29</v>
      </c>
      <c r="E103" s="7">
        <v>8061.0</v>
      </c>
      <c r="F103" s="7">
        <v>11036.0</v>
      </c>
      <c r="G103" s="7">
        <v>19097.0</v>
      </c>
      <c r="H103" s="7">
        <v>269.02</v>
      </c>
      <c r="I103" s="7">
        <v>3887.0</v>
      </c>
      <c r="J103" s="7">
        <v>0.069</v>
      </c>
      <c r="K103" s="7">
        <v>3274.0</v>
      </c>
      <c r="L103" s="13">
        <v>4039.02</v>
      </c>
      <c r="M103" s="7">
        <v>4738.0</v>
      </c>
      <c r="N103" s="7">
        <v>0.852</v>
      </c>
      <c r="O103" s="8">
        <v>3896.0</v>
      </c>
      <c r="P103" s="13">
        <v>5135.52</v>
      </c>
      <c r="Q103" s="9">
        <v>3067800.0</v>
      </c>
      <c r="R103" s="7">
        <v>1.67</v>
      </c>
      <c r="S103" s="7">
        <v>4029.0</v>
      </c>
      <c r="T103" s="7">
        <v>39.34</v>
      </c>
      <c r="U103" s="7">
        <v>10.0</v>
      </c>
      <c r="V103" s="7">
        <v>3.93</v>
      </c>
      <c r="W103" s="7">
        <v>62.0</v>
      </c>
      <c r="X103" s="7">
        <v>84.39</v>
      </c>
      <c r="Y103" s="10">
        <v>38665.0</v>
      </c>
      <c r="Z103" s="10">
        <v>2.18</v>
      </c>
      <c r="AA103" s="11">
        <v>0.0</v>
      </c>
      <c r="AB103" s="7"/>
      <c r="AC103" s="12"/>
      <c r="AD103" s="10"/>
    </row>
    <row r="104" ht="15.75" customHeight="1">
      <c r="A104" s="6">
        <v>44664.0</v>
      </c>
      <c r="B104" s="7">
        <f t="shared" si="1"/>
        <v>13</v>
      </c>
      <c r="C104" s="7">
        <f t="shared" si="2"/>
        <v>4</v>
      </c>
      <c r="D104" s="7">
        <v>7383.61</v>
      </c>
      <c r="E104" s="7">
        <v>8480.0</v>
      </c>
      <c r="F104" s="7">
        <v>9426.0</v>
      </c>
      <c r="G104" s="7">
        <v>17906.0</v>
      </c>
      <c r="H104" s="7">
        <v>253.3</v>
      </c>
      <c r="I104" s="7">
        <v>3676.0</v>
      </c>
      <c r="J104" s="7">
        <v>0.069</v>
      </c>
      <c r="K104" s="7">
        <v>3097.0</v>
      </c>
      <c r="L104" s="13">
        <v>3963.65</v>
      </c>
      <c r="M104" s="7">
        <v>4520.0</v>
      </c>
      <c r="N104" s="7">
        <v>0.877</v>
      </c>
      <c r="O104" s="8">
        <v>3625.0</v>
      </c>
      <c r="P104" s="13">
        <v>3093.96</v>
      </c>
      <c r="Q104" s="9">
        <v>2126401.0</v>
      </c>
      <c r="R104" s="7">
        <v>1.46</v>
      </c>
      <c r="S104" s="7">
        <v>2807.0</v>
      </c>
      <c r="T104" s="7">
        <v>0.0</v>
      </c>
      <c r="U104" s="7">
        <v>0.0</v>
      </c>
      <c r="V104" s="7">
        <v>0.0</v>
      </c>
      <c r="W104" s="7">
        <v>64.0</v>
      </c>
      <c r="X104" s="7">
        <v>72.7</v>
      </c>
      <c r="Y104" s="10">
        <v>30317.0</v>
      </c>
      <c r="Z104" s="10">
        <v>2.4</v>
      </c>
      <c r="AA104" s="11">
        <v>0.0</v>
      </c>
      <c r="AB104" s="7"/>
      <c r="AC104" s="12"/>
      <c r="AD104" s="10"/>
    </row>
    <row r="105" ht="15.75" customHeight="1">
      <c r="A105" s="6">
        <v>44665.0</v>
      </c>
      <c r="B105" s="7">
        <f t="shared" si="1"/>
        <v>14</v>
      </c>
      <c r="C105" s="7">
        <f t="shared" si="2"/>
        <v>4</v>
      </c>
      <c r="D105" s="7">
        <v>7803.91</v>
      </c>
      <c r="E105" s="7">
        <v>9238.0</v>
      </c>
      <c r="F105" s="7">
        <v>9554.0</v>
      </c>
      <c r="G105" s="7">
        <v>18792.0</v>
      </c>
      <c r="H105" s="7">
        <v>238.43</v>
      </c>
      <c r="I105" s="7">
        <v>3903.0</v>
      </c>
      <c r="J105" s="7">
        <v>0.061</v>
      </c>
      <c r="K105" s="7">
        <v>3170.0</v>
      </c>
      <c r="L105" s="13">
        <v>3935.32</v>
      </c>
      <c r="M105" s="7">
        <v>4237.0</v>
      </c>
      <c r="N105" s="7">
        <v>0.929</v>
      </c>
      <c r="O105" s="8">
        <v>3350.0</v>
      </c>
      <c r="P105" s="13">
        <v>3560.2</v>
      </c>
      <c r="Q105" s="9">
        <v>2314317.0</v>
      </c>
      <c r="R105" s="7">
        <v>1.54</v>
      </c>
      <c r="S105" s="7">
        <v>3099.0</v>
      </c>
      <c r="T105" s="7">
        <v>0.0</v>
      </c>
      <c r="U105" s="7">
        <v>0.0</v>
      </c>
      <c r="V105" s="7">
        <v>0.0</v>
      </c>
      <c r="W105" s="7">
        <v>80.0</v>
      </c>
      <c r="X105" s="7">
        <v>69.96</v>
      </c>
      <c r="Y105" s="10">
        <v>28271.0</v>
      </c>
      <c r="Z105" s="10">
        <v>2.47</v>
      </c>
      <c r="AA105" s="11">
        <v>0.0</v>
      </c>
      <c r="AB105" s="7"/>
      <c r="AC105" s="12"/>
      <c r="AD105" s="10"/>
    </row>
    <row r="106" ht="15.75" customHeight="1">
      <c r="A106" s="6">
        <v>44666.0</v>
      </c>
      <c r="B106" s="7">
        <f t="shared" si="1"/>
        <v>15</v>
      </c>
      <c r="C106" s="7">
        <f t="shared" si="2"/>
        <v>4</v>
      </c>
      <c r="D106" s="7">
        <v>6723.02</v>
      </c>
      <c r="E106" s="7">
        <v>7746.0</v>
      </c>
      <c r="F106" s="7">
        <v>9282.0</v>
      </c>
      <c r="G106" s="7">
        <v>17028.0</v>
      </c>
      <c r="H106" s="7">
        <v>240.24</v>
      </c>
      <c r="I106" s="7">
        <v>3736.0</v>
      </c>
      <c r="J106" s="7">
        <v>0.064</v>
      </c>
      <c r="K106" s="7">
        <v>3159.0</v>
      </c>
      <c r="L106" s="7">
        <v>3300.39</v>
      </c>
      <c r="M106" s="7">
        <v>4016.0</v>
      </c>
      <c r="N106" s="7">
        <v>0.822</v>
      </c>
      <c r="O106" s="8">
        <v>3160.0</v>
      </c>
      <c r="P106" s="7">
        <v>3113.56</v>
      </c>
      <c r="Q106" s="7">
        <v>1979357.0</v>
      </c>
      <c r="R106" s="7">
        <v>1.57</v>
      </c>
      <c r="S106" s="7">
        <v>2936.0</v>
      </c>
      <c r="T106" s="7">
        <v>0.0</v>
      </c>
      <c r="U106" s="7">
        <v>0.0</v>
      </c>
      <c r="V106" s="7">
        <v>0.0</v>
      </c>
      <c r="W106" s="7">
        <v>99.0</v>
      </c>
      <c r="X106" s="7">
        <v>68.83</v>
      </c>
      <c r="Y106" s="7">
        <v>23081.0</v>
      </c>
      <c r="Z106" s="7">
        <v>2.98</v>
      </c>
      <c r="AA106" s="11">
        <v>0.0</v>
      </c>
      <c r="AB106" s="7"/>
      <c r="AC106" s="10"/>
      <c r="AD106" s="10"/>
    </row>
    <row r="107" ht="15.75" customHeight="1">
      <c r="A107" s="6">
        <v>44667.0</v>
      </c>
      <c r="B107" s="7">
        <f t="shared" si="1"/>
        <v>16</v>
      </c>
      <c r="C107" s="7">
        <f t="shared" si="2"/>
        <v>4</v>
      </c>
      <c r="D107" s="7">
        <v>6613.41</v>
      </c>
      <c r="E107" s="7">
        <v>7036.0</v>
      </c>
      <c r="F107" s="7">
        <v>9605.0</v>
      </c>
      <c r="G107" s="7">
        <v>16641.0</v>
      </c>
      <c r="H107" s="7">
        <v>269.48</v>
      </c>
      <c r="I107" s="7">
        <v>3491.0</v>
      </c>
      <c r="J107" s="7">
        <v>0.077</v>
      </c>
      <c r="K107" s="7">
        <v>2969.0</v>
      </c>
      <c r="L107" s="7">
        <v>3222.19</v>
      </c>
      <c r="M107" s="7">
        <v>4431.0</v>
      </c>
      <c r="N107" s="7">
        <v>0.727</v>
      </c>
      <c r="O107" s="8">
        <v>3578.0</v>
      </c>
      <c r="P107" s="7">
        <v>3055.07</v>
      </c>
      <c r="Q107" s="7">
        <v>1991608.0</v>
      </c>
      <c r="R107" s="7">
        <v>1.53</v>
      </c>
      <c r="S107" s="7">
        <v>3093.0</v>
      </c>
      <c r="T107" s="7">
        <v>0.0</v>
      </c>
      <c r="U107" s="7">
        <v>0.0</v>
      </c>
      <c r="V107" s="7">
        <v>0.0</v>
      </c>
      <c r="W107" s="7">
        <v>51.0</v>
      </c>
      <c r="X107" s="7">
        <v>66.67</v>
      </c>
      <c r="Y107" s="7">
        <v>21595.0</v>
      </c>
      <c r="Z107" s="7">
        <v>3.09</v>
      </c>
      <c r="AA107" s="11">
        <v>0.0</v>
      </c>
      <c r="AB107" s="7"/>
      <c r="AC107" s="10"/>
      <c r="AD107" s="10"/>
    </row>
    <row r="108" ht="15.75" customHeight="1">
      <c r="A108" s="6">
        <v>44668.0</v>
      </c>
      <c r="B108" s="7">
        <f t="shared" si="1"/>
        <v>17</v>
      </c>
      <c r="C108" s="7">
        <f t="shared" si="2"/>
        <v>4</v>
      </c>
      <c r="D108" s="7">
        <v>7241.34</v>
      </c>
      <c r="E108" s="7">
        <v>8202.0</v>
      </c>
      <c r="F108" s="7">
        <v>10800.0</v>
      </c>
      <c r="G108" s="7">
        <v>19002.0</v>
      </c>
      <c r="H108" s="7">
        <v>279.55</v>
      </c>
      <c r="I108" s="7">
        <v>4135.0</v>
      </c>
      <c r="J108" s="7">
        <v>0.068</v>
      </c>
      <c r="K108" s="7">
        <v>3254.0</v>
      </c>
      <c r="L108" s="7">
        <v>3505.22</v>
      </c>
      <c r="M108" s="7">
        <v>5118.0</v>
      </c>
      <c r="N108" s="7">
        <v>0.685</v>
      </c>
      <c r="O108" s="8">
        <v>3867.0</v>
      </c>
      <c r="P108" s="7">
        <v>3392.03</v>
      </c>
      <c r="Q108" s="7">
        <v>2605857.0</v>
      </c>
      <c r="R108" s="7">
        <v>1.3</v>
      </c>
      <c r="S108" s="7">
        <v>3661.0</v>
      </c>
      <c r="T108" s="7">
        <v>0.0</v>
      </c>
      <c r="U108" s="7">
        <v>0.0</v>
      </c>
      <c r="V108" s="7">
        <v>0.0</v>
      </c>
      <c r="W108" s="7">
        <v>51.0</v>
      </c>
      <c r="X108" s="7">
        <v>64.54</v>
      </c>
      <c r="Y108" s="7">
        <v>23491.0</v>
      </c>
      <c r="Z108" s="7">
        <v>2.75</v>
      </c>
      <c r="AA108" s="11">
        <v>0.0</v>
      </c>
      <c r="AB108" s="7"/>
      <c r="AC108" s="10"/>
      <c r="AD108" s="10"/>
    </row>
    <row r="109" ht="15.75" customHeight="1">
      <c r="A109" s="6">
        <v>44669.0</v>
      </c>
      <c r="B109" s="7">
        <f t="shared" si="1"/>
        <v>18</v>
      </c>
      <c r="C109" s="7">
        <f t="shared" si="2"/>
        <v>4</v>
      </c>
      <c r="D109" s="7">
        <v>7088.1</v>
      </c>
      <c r="E109" s="7">
        <v>7764.0</v>
      </c>
      <c r="F109" s="7">
        <v>11344.0</v>
      </c>
      <c r="G109" s="7">
        <v>19108.0</v>
      </c>
      <c r="H109" s="7">
        <v>266.06</v>
      </c>
      <c r="I109" s="7">
        <v>4001.0</v>
      </c>
      <c r="J109" s="7">
        <v>0.066</v>
      </c>
      <c r="K109" s="7">
        <v>3099.0</v>
      </c>
      <c r="L109" s="7">
        <v>3644.39</v>
      </c>
      <c r="M109" s="7">
        <v>5408.0</v>
      </c>
      <c r="N109" s="7">
        <v>0.674</v>
      </c>
      <c r="O109" s="8">
        <v>4239.0</v>
      </c>
      <c r="P109" s="7">
        <v>3119.73</v>
      </c>
      <c r="Q109" s="7">
        <v>2615250.0</v>
      </c>
      <c r="R109" s="7">
        <v>1.19</v>
      </c>
      <c r="S109" s="7">
        <v>3957.0</v>
      </c>
      <c r="T109" s="7">
        <v>0.0</v>
      </c>
      <c r="U109" s="7">
        <v>0.0</v>
      </c>
      <c r="V109" s="7">
        <v>0.0</v>
      </c>
      <c r="W109" s="7">
        <v>63.0</v>
      </c>
      <c r="X109" s="7">
        <v>57.92</v>
      </c>
      <c r="Y109" s="7">
        <v>20345.0</v>
      </c>
      <c r="Z109" s="7">
        <v>2.85</v>
      </c>
      <c r="AA109" s="11">
        <v>0.0</v>
      </c>
      <c r="AB109" s="7"/>
      <c r="AC109" s="10"/>
      <c r="AD109" s="10"/>
    </row>
    <row r="110" ht="15.75" customHeight="1">
      <c r="A110" s="6">
        <v>44670.0</v>
      </c>
      <c r="B110" s="7">
        <f t="shared" si="1"/>
        <v>19</v>
      </c>
      <c r="C110" s="7">
        <f t="shared" si="2"/>
        <v>4</v>
      </c>
      <c r="D110" s="7">
        <v>7332.91</v>
      </c>
      <c r="E110" s="7">
        <v>9511.0</v>
      </c>
      <c r="F110" s="7">
        <v>11056.0</v>
      </c>
      <c r="G110" s="7">
        <v>20567.0</v>
      </c>
      <c r="H110" s="7">
        <v>315.26</v>
      </c>
      <c r="I110" s="7">
        <v>4715.0</v>
      </c>
      <c r="J110" s="7">
        <v>0.067</v>
      </c>
      <c r="K110" s="7">
        <v>3957.0</v>
      </c>
      <c r="L110" s="7">
        <v>4317.14</v>
      </c>
      <c r="M110" s="7">
        <v>5444.0</v>
      </c>
      <c r="N110" s="7">
        <v>0.793</v>
      </c>
      <c r="O110" s="8">
        <v>4448.0</v>
      </c>
      <c r="P110" s="7">
        <v>2658.6</v>
      </c>
      <c r="Q110" s="7">
        <v>2097110.0</v>
      </c>
      <c r="R110" s="7">
        <v>1.27</v>
      </c>
      <c r="S110" s="7">
        <v>2926.0</v>
      </c>
      <c r="T110" s="7">
        <v>0.0</v>
      </c>
      <c r="U110" s="7">
        <v>0.0</v>
      </c>
      <c r="V110" s="7">
        <v>0.0</v>
      </c>
      <c r="W110" s="7">
        <v>64.0</v>
      </c>
      <c r="X110" s="7">
        <v>41.91</v>
      </c>
      <c r="Y110" s="7">
        <v>14036.0</v>
      </c>
      <c r="Z110" s="7">
        <v>2.99</v>
      </c>
      <c r="AA110" s="11">
        <v>0.0</v>
      </c>
      <c r="AB110" s="7"/>
      <c r="AC110" s="10"/>
      <c r="AD110" s="10"/>
    </row>
    <row r="111" ht="15.75" customHeight="1">
      <c r="A111" s="6">
        <v>44671.0</v>
      </c>
      <c r="B111" s="7">
        <f t="shared" si="1"/>
        <v>20</v>
      </c>
      <c r="C111" s="7">
        <f t="shared" si="2"/>
        <v>4</v>
      </c>
      <c r="D111" s="7">
        <v>6305.72</v>
      </c>
      <c r="E111" s="7">
        <v>9595.0</v>
      </c>
      <c r="F111" s="7">
        <v>10229.0</v>
      </c>
      <c r="G111" s="7">
        <v>19824.0</v>
      </c>
      <c r="H111" s="7">
        <v>260.34</v>
      </c>
      <c r="I111" s="7">
        <v>4291.0</v>
      </c>
      <c r="J111" s="7">
        <v>0.061</v>
      </c>
      <c r="K111" s="7">
        <v>3633.0</v>
      </c>
      <c r="L111" s="7">
        <v>3462.51</v>
      </c>
      <c r="M111" s="7">
        <v>4728.0</v>
      </c>
      <c r="N111" s="7">
        <v>0.732</v>
      </c>
      <c r="O111" s="8">
        <v>3920.0</v>
      </c>
      <c r="P111" s="7">
        <v>2562.87</v>
      </c>
      <c r="Q111" s="7">
        <v>1745358.0</v>
      </c>
      <c r="R111" s="7">
        <v>1.47</v>
      </c>
      <c r="S111" s="7">
        <v>2704.0</v>
      </c>
      <c r="T111" s="7">
        <v>0.0</v>
      </c>
      <c r="U111" s="7">
        <v>0.0</v>
      </c>
      <c r="V111" s="7">
        <v>0.0</v>
      </c>
      <c r="W111" s="7">
        <v>74.0</v>
      </c>
      <c r="X111" s="7">
        <v>20.0</v>
      </c>
      <c r="Y111" s="7">
        <v>3426.0</v>
      </c>
      <c r="Z111" s="7">
        <v>5.84</v>
      </c>
      <c r="AA111" s="11">
        <v>0.0</v>
      </c>
      <c r="AB111" s="7"/>
      <c r="AC111" s="10"/>
      <c r="AD111" s="10"/>
    </row>
    <row r="112" ht="15.75" customHeight="1">
      <c r="A112" s="6">
        <v>44672.0</v>
      </c>
      <c r="B112" s="7">
        <f t="shared" si="1"/>
        <v>21</v>
      </c>
      <c r="C112" s="7">
        <f t="shared" si="2"/>
        <v>4</v>
      </c>
      <c r="D112" s="7">
        <v>5726.87</v>
      </c>
      <c r="E112" s="7">
        <v>10315.0</v>
      </c>
      <c r="F112" s="7">
        <v>10035.0</v>
      </c>
      <c r="G112" s="7">
        <v>20350.0</v>
      </c>
      <c r="H112" s="7">
        <v>312.1</v>
      </c>
      <c r="I112" s="7">
        <v>5397.0</v>
      </c>
      <c r="J112" s="7">
        <v>0.058</v>
      </c>
      <c r="K112" s="7">
        <v>4514.0</v>
      </c>
      <c r="L112" s="7">
        <v>2819.21</v>
      </c>
      <c r="M112" s="7">
        <v>3948.0</v>
      </c>
      <c r="N112" s="7">
        <v>0.714</v>
      </c>
      <c r="O112" s="8">
        <v>3313.0</v>
      </c>
      <c r="P112" s="7">
        <v>2575.75</v>
      </c>
      <c r="Q112" s="7">
        <v>1648431.0</v>
      </c>
      <c r="R112" s="7">
        <v>1.56</v>
      </c>
      <c r="S112" s="7">
        <v>2515.0</v>
      </c>
      <c r="T112" s="7">
        <v>0.0</v>
      </c>
      <c r="U112" s="7">
        <v>0.0</v>
      </c>
      <c r="V112" s="7">
        <v>0.0</v>
      </c>
      <c r="W112" s="7">
        <v>65.0</v>
      </c>
      <c r="X112" s="7">
        <v>19.81</v>
      </c>
      <c r="Y112" s="7">
        <v>3498.0</v>
      </c>
      <c r="Z112" s="7">
        <v>5.66</v>
      </c>
      <c r="AA112" s="11">
        <v>0.0</v>
      </c>
      <c r="AB112" s="7"/>
      <c r="AC112" s="10"/>
      <c r="AD112" s="10"/>
    </row>
    <row r="113" ht="15.75" customHeight="1">
      <c r="A113" s="6">
        <v>44673.0</v>
      </c>
      <c r="B113" s="7">
        <f t="shared" si="1"/>
        <v>22</v>
      </c>
      <c r="C113" s="7">
        <f t="shared" si="2"/>
        <v>4</v>
      </c>
      <c r="D113" s="7">
        <v>5733.27</v>
      </c>
      <c r="E113" s="7">
        <v>9943.0</v>
      </c>
      <c r="F113" s="7">
        <v>10328.0</v>
      </c>
      <c r="G113" s="7">
        <v>20271.0</v>
      </c>
      <c r="H113" s="7">
        <v>261.81</v>
      </c>
      <c r="I113" s="7">
        <v>4805.0</v>
      </c>
      <c r="J113" s="7">
        <v>0.054</v>
      </c>
      <c r="K113" s="7">
        <v>4261.0</v>
      </c>
      <c r="L113" s="7">
        <v>2703.53</v>
      </c>
      <c r="M113" s="7">
        <v>4108.0</v>
      </c>
      <c r="N113" s="7">
        <v>0.658</v>
      </c>
      <c r="O113" s="8">
        <v>3407.0</v>
      </c>
      <c r="P113" s="7">
        <v>2747.93</v>
      </c>
      <c r="Q113" s="7">
        <v>1703862.0</v>
      </c>
      <c r="R113" s="7">
        <v>1.61</v>
      </c>
      <c r="S113" s="7">
        <v>2592.0</v>
      </c>
      <c r="T113" s="7">
        <v>0.0</v>
      </c>
      <c r="U113" s="7">
        <v>0.0</v>
      </c>
      <c r="V113" s="7">
        <v>0.0</v>
      </c>
      <c r="W113" s="7">
        <v>70.0</v>
      </c>
      <c r="X113" s="7">
        <v>20.0</v>
      </c>
      <c r="Y113" s="7">
        <v>3847.0</v>
      </c>
      <c r="Z113" s="7">
        <v>5.2</v>
      </c>
      <c r="AA113" s="11">
        <v>0.0</v>
      </c>
      <c r="AB113" s="7"/>
      <c r="AC113" s="10"/>
      <c r="AD113" s="10"/>
    </row>
    <row r="114" ht="15.75" customHeight="1">
      <c r="A114" s="6">
        <v>44674.0</v>
      </c>
      <c r="B114" s="7">
        <f t="shared" si="1"/>
        <v>23</v>
      </c>
      <c r="C114" s="7">
        <f t="shared" si="2"/>
        <v>4</v>
      </c>
      <c r="D114" s="7">
        <v>6024.76</v>
      </c>
      <c r="E114" s="7">
        <v>8461.0</v>
      </c>
      <c r="F114" s="7">
        <v>10385.0</v>
      </c>
      <c r="G114" s="7">
        <v>18846.0</v>
      </c>
      <c r="H114" s="7">
        <v>239.77</v>
      </c>
      <c r="I114" s="7">
        <v>4543.0</v>
      </c>
      <c r="J114" s="7">
        <v>0.053</v>
      </c>
      <c r="K114" s="7">
        <v>3900.0</v>
      </c>
      <c r="L114" s="7">
        <v>2689.79</v>
      </c>
      <c r="M114" s="7">
        <v>4472.0</v>
      </c>
      <c r="N114" s="7">
        <v>0.601</v>
      </c>
      <c r="O114" s="8">
        <v>3658.0</v>
      </c>
      <c r="P114" s="7">
        <v>3075.2</v>
      </c>
      <c r="Q114" s="7">
        <v>2006410.0</v>
      </c>
      <c r="R114" s="7">
        <v>1.53</v>
      </c>
      <c r="S114" s="7">
        <v>3079.0</v>
      </c>
      <c r="T114" s="7">
        <v>0.0</v>
      </c>
      <c r="U114" s="7">
        <v>0.0</v>
      </c>
      <c r="V114" s="7">
        <v>0.0</v>
      </c>
      <c r="W114" s="7">
        <v>23.0</v>
      </c>
      <c r="X114" s="7">
        <v>20.0</v>
      </c>
      <c r="Y114" s="7">
        <v>3747.0</v>
      </c>
      <c r="Z114" s="7">
        <v>5.34</v>
      </c>
      <c r="AA114" s="11">
        <v>0.0</v>
      </c>
      <c r="AB114" s="7"/>
      <c r="AC114" s="10"/>
      <c r="AD114" s="10"/>
    </row>
    <row r="115" ht="15.75" customHeight="1">
      <c r="A115" s="6">
        <v>44675.0</v>
      </c>
      <c r="B115" s="7">
        <f t="shared" si="1"/>
        <v>24</v>
      </c>
      <c r="C115" s="7">
        <f t="shared" si="2"/>
        <v>4</v>
      </c>
      <c r="D115" s="7">
        <v>6876.56</v>
      </c>
      <c r="E115" s="7">
        <v>9350.0</v>
      </c>
      <c r="F115" s="7">
        <v>12185.0</v>
      </c>
      <c r="G115" s="7">
        <v>21535.0</v>
      </c>
      <c r="H115" s="7">
        <v>297.19</v>
      </c>
      <c r="I115" s="7">
        <v>5052.0</v>
      </c>
      <c r="J115" s="7">
        <v>0.059</v>
      </c>
      <c r="K115" s="7">
        <v>4164.0</v>
      </c>
      <c r="L115" s="7">
        <v>3413.87</v>
      </c>
      <c r="M115" s="7">
        <v>5416.0</v>
      </c>
      <c r="N115" s="7">
        <v>0.63</v>
      </c>
      <c r="O115" s="8">
        <v>4496.0</v>
      </c>
      <c r="P115" s="7">
        <v>3145.6</v>
      </c>
      <c r="Q115" s="7">
        <v>2284767.0</v>
      </c>
      <c r="R115" s="7">
        <v>1.38</v>
      </c>
      <c r="S115" s="7">
        <v>3474.0</v>
      </c>
      <c r="T115" s="7">
        <v>0.0</v>
      </c>
      <c r="U115" s="7">
        <v>0.0</v>
      </c>
      <c r="V115" s="7">
        <v>0.0</v>
      </c>
      <c r="W115" s="7">
        <v>41.0</v>
      </c>
      <c r="X115" s="7">
        <v>19.9</v>
      </c>
      <c r="Y115" s="7">
        <v>4024.0</v>
      </c>
      <c r="Z115" s="7">
        <v>4.95</v>
      </c>
      <c r="AA115" s="11">
        <v>0.0</v>
      </c>
      <c r="AB115" s="7"/>
      <c r="AC115" s="10"/>
      <c r="AD115" s="10"/>
    </row>
    <row r="116" ht="15.75" customHeight="1">
      <c r="A116" s="6">
        <v>44676.0</v>
      </c>
      <c r="B116" s="7">
        <f t="shared" si="1"/>
        <v>25</v>
      </c>
      <c r="C116" s="7">
        <f t="shared" si="2"/>
        <v>4</v>
      </c>
      <c r="D116" s="7">
        <v>6849.65</v>
      </c>
      <c r="E116" s="7">
        <v>10222.0</v>
      </c>
      <c r="F116" s="7">
        <v>12261.0</v>
      </c>
      <c r="G116" s="7">
        <v>22483.0</v>
      </c>
      <c r="H116" s="7">
        <v>303.63</v>
      </c>
      <c r="I116" s="7">
        <v>5098.0</v>
      </c>
      <c r="J116" s="7">
        <v>0.06</v>
      </c>
      <c r="K116" s="7">
        <v>4317.0</v>
      </c>
      <c r="L116" s="7">
        <v>3535.87</v>
      </c>
      <c r="M116" s="7">
        <v>5574.0</v>
      </c>
      <c r="N116" s="7">
        <v>0.634</v>
      </c>
      <c r="O116" s="8">
        <v>4610.0</v>
      </c>
      <c r="P116" s="7">
        <v>2990.49</v>
      </c>
      <c r="Q116" s="7">
        <v>2313495.0</v>
      </c>
      <c r="R116" s="7">
        <v>1.29</v>
      </c>
      <c r="S116" s="7">
        <v>3482.0</v>
      </c>
      <c r="T116" s="7">
        <v>0.0</v>
      </c>
      <c r="U116" s="7">
        <v>0.0</v>
      </c>
      <c r="V116" s="7">
        <v>0.0</v>
      </c>
      <c r="W116" s="7">
        <v>43.0</v>
      </c>
      <c r="X116" s="7">
        <v>19.66</v>
      </c>
      <c r="Y116" s="7">
        <v>4844.0</v>
      </c>
      <c r="Z116" s="7">
        <v>4.06</v>
      </c>
      <c r="AA116" s="11">
        <v>0.0</v>
      </c>
      <c r="AB116" s="7"/>
      <c r="AC116" s="10"/>
      <c r="AD116" s="10"/>
    </row>
    <row r="117" ht="15.75" customHeight="1">
      <c r="A117" s="6">
        <v>44677.0</v>
      </c>
      <c r="B117" s="7">
        <f t="shared" si="1"/>
        <v>26</v>
      </c>
      <c r="C117" s="7">
        <f t="shared" si="2"/>
        <v>4</v>
      </c>
      <c r="D117" s="7">
        <v>7059.19</v>
      </c>
      <c r="E117" s="7">
        <v>9972.0</v>
      </c>
      <c r="F117" s="7">
        <v>11357.0</v>
      </c>
      <c r="G117" s="7">
        <v>21329.0</v>
      </c>
      <c r="H117" s="7">
        <v>300.87</v>
      </c>
      <c r="I117" s="7">
        <v>4679.0</v>
      </c>
      <c r="J117" s="7">
        <v>0.064</v>
      </c>
      <c r="K117" s="7">
        <v>4135.0</v>
      </c>
      <c r="L117" s="7">
        <v>3634.68</v>
      </c>
      <c r="M117" s="7">
        <v>5023.0</v>
      </c>
      <c r="N117" s="7">
        <v>0.724</v>
      </c>
      <c r="O117" s="8">
        <v>4239.0</v>
      </c>
      <c r="P117" s="7">
        <v>3097.19</v>
      </c>
      <c r="Q117" s="7">
        <v>2195213.0</v>
      </c>
      <c r="R117" s="7">
        <v>1.41</v>
      </c>
      <c r="S117" s="7">
        <v>3057.0</v>
      </c>
      <c r="T117" s="7">
        <v>0.0</v>
      </c>
      <c r="U117" s="7">
        <v>0.0</v>
      </c>
      <c r="V117" s="7">
        <v>0.0</v>
      </c>
      <c r="W117" s="7">
        <v>76.0</v>
      </c>
      <c r="X117" s="7">
        <v>26.45</v>
      </c>
      <c r="Y117" s="7">
        <v>7398.0</v>
      </c>
      <c r="Z117" s="7">
        <v>3.58</v>
      </c>
      <c r="AA117" s="11">
        <v>0.0</v>
      </c>
      <c r="AB117" s="7"/>
      <c r="AC117" s="10"/>
      <c r="AD117" s="10"/>
    </row>
    <row r="118" ht="15.75" customHeight="1">
      <c r="A118" s="6">
        <v>44678.0</v>
      </c>
      <c r="B118" s="7">
        <f t="shared" si="1"/>
        <v>27</v>
      </c>
      <c r="C118" s="7">
        <f t="shared" si="2"/>
        <v>4</v>
      </c>
      <c r="D118" s="7">
        <v>7077.07</v>
      </c>
      <c r="E118" s="7">
        <v>12104.0</v>
      </c>
      <c r="F118" s="7">
        <v>10643.0</v>
      </c>
      <c r="G118" s="7">
        <v>22747.0</v>
      </c>
      <c r="H118" s="7">
        <v>276.15</v>
      </c>
      <c r="I118" s="7">
        <v>4454.0</v>
      </c>
      <c r="J118" s="7">
        <v>0.062</v>
      </c>
      <c r="K118" s="7">
        <v>3804.0</v>
      </c>
      <c r="L118" s="7">
        <v>3330.15</v>
      </c>
      <c r="M118" s="7">
        <v>4623.0</v>
      </c>
      <c r="N118" s="7">
        <v>0.72</v>
      </c>
      <c r="O118" s="8">
        <v>3862.0</v>
      </c>
      <c r="P118" s="7">
        <v>3401.11</v>
      </c>
      <c r="Q118" s="7">
        <v>2106704.0</v>
      </c>
      <c r="R118" s="7">
        <v>1.61</v>
      </c>
      <c r="S118" s="7">
        <v>3097.0</v>
      </c>
      <c r="T118" s="7">
        <v>0.0</v>
      </c>
      <c r="U118" s="7">
        <v>0.0</v>
      </c>
      <c r="V118" s="7">
        <v>0.0</v>
      </c>
      <c r="W118" s="7">
        <v>52.0</v>
      </c>
      <c r="X118" s="7">
        <v>69.66</v>
      </c>
      <c r="Y118" s="7">
        <v>22356.0</v>
      </c>
      <c r="Z118" s="7">
        <v>3.12</v>
      </c>
      <c r="AA118" s="11">
        <v>0.0</v>
      </c>
      <c r="AB118" s="7"/>
      <c r="AC118" s="10"/>
      <c r="AD118" s="10"/>
    </row>
    <row r="119" ht="15.75" customHeight="1">
      <c r="A119" s="6">
        <v>44679.0</v>
      </c>
      <c r="B119" s="7">
        <f t="shared" si="1"/>
        <v>28</v>
      </c>
      <c r="C119" s="7">
        <f t="shared" si="2"/>
        <v>4</v>
      </c>
      <c r="D119" s="7">
        <v>7045.76</v>
      </c>
      <c r="E119" s="7">
        <v>10190.0</v>
      </c>
      <c r="F119" s="7">
        <v>10036.0</v>
      </c>
      <c r="G119" s="7">
        <v>20226.0</v>
      </c>
      <c r="H119" s="7">
        <v>266.9</v>
      </c>
      <c r="I119" s="7">
        <v>4293.0</v>
      </c>
      <c r="J119" s="7">
        <v>0.062</v>
      </c>
      <c r="K119" s="7">
        <v>3801.0</v>
      </c>
      <c r="L119" s="7">
        <v>3477.65</v>
      </c>
      <c r="M119" s="7">
        <v>4473.0</v>
      </c>
      <c r="N119" s="7">
        <v>0.777</v>
      </c>
      <c r="O119" s="8">
        <v>3736.0</v>
      </c>
      <c r="P119" s="7">
        <v>3248.67</v>
      </c>
      <c r="Q119" s="7">
        <v>1758647.0</v>
      </c>
      <c r="R119" s="7">
        <v>1.85</v>
      </c>
      <c r="S119" s="7">
        <v>2635.0</v>
      </c>
      <c r="T119" s="7">
        <v>0.0</v>
      </c>
      <c r="U119" s="7">
        <v>0.0</v>
      </c>
      <c r="V119" s="7">
        <v>0.0</v>
      </c>
      <c r="W119" s="7">
        <v>54.0</v>
      </c>
      <c r="X119" s="7">
        <v>52.54</v>
      </c>
      <c r="Y119" s="7">
        <v>14106.0</v>
      </c>
      <c r="Z119" s="7">
        <v>3.72</v>
      </c>
      <c r="AA119" s="11">
        <v>0.0</v>
      </c>
      <c r="AB119" s="7"/>
      <c r="AC119" s="10"/>
      <c r="AD119" s="10"/>
    </row>
    <row r="120" ht="15.75" customHeight="1">
      <c r="A120" s="6">
        <v>44680.0</v>
      </c>
      <c r="B120" s="7">
        <f t="shared" si="1"/>
        <v>29</v>
      </c>
      <c r="C120" s="7">
        <f t="shared" si="2"/>
        <v>4</v>
      </c>
      <c r="D120" s="7">
        <v>7123.38</v>
      </c>
      <c r="E120" s="7">
        <v>8785.0</v>
      </c>
      <c r="F120" s="7">
        <v>9347.0</v>
      </c>
      <c r="G120" s="7">
        <v>18132.0</v>
      </c>
      <c r="H120" s="7">
        <v>281.64</v>
      </c>
      <c r="I120" s="7">
        <v>3882.0</v>
      </c>
      <c r="J120" s="7">
        <v>0.073</v>
      </c>
      <c r="K120" s="7">
        <v>3471.0</v>
      </c>
      <c r="L120" s="7">
        <v>3393.08</v>
      </c>
      <c r="M120" s="7">
        <v>4291.0</v>
      </c>
      <c r="N120" s="7">
        <v>0.791</v>
      </c>
      <c r="O120" s="8">
        <v>3643.0</v>
      </c>
      <c r="P120" s="7">
        <v>3402.36</v>
      </c>
      <c r="Q120" s="7">
        <v>1804971.0</v>
      </c>
      <c r="R120" s="7">
        <v>1.88</v>
      </c>
      <c r="S120" s="7">
        <v>2451.0</v>
      </c>
      <c r="T120" s="7">
        <v>0.0</v>
      </c>
      <c r="U120" s="7">
        <v>0.0</v>
      </c>
      <c r="V120" s="7">
        <v>0.0</v>
      </c>
      <c r="W120" s="7">
        <v>38.0</v>
      </c>
      <c r="X120" s="7">
        <v>46.3</v>
      </c>
      <c r="Y120" s="7">
        <v>10869.0</v>
      </c>
      <c r="Z120" s="7">
        <v>4.26</v>
      </c>
      <c r="AA120" s="11">
        <v>0.0</v>
      </c>
      <c r="AB120" s="7"/>
      <c r="AC120" s="10"/>
      <c r="AD120" s="10"/>
    </row>
    <row r="121" ht="15.75" customHeight="1">
      <c r="A121" s="6">
        <v>44681.0</v>
      </c>
      <c r="B121" s="7">
        <f t="shared" si="1"/>
        <v>30</v>
      </c>
      <c r="C121" s="7">
        <f t="shared" si="2"/>
        <v>4</v>
      </c>
      <c r="D121" s="7">
        <v>6919.95</v>
      </c>
      <c r="E121" s="7">
        <v>8402.0</v>
      </c>
      <c r="F121" s="7">
        <v>9931.0</v>
      </c>
      <c r="G121" s="7">
        <v>18333.0</v>
      </c>
      <c r="H121" s="7">
        <v>250.59</v>
      </c>
      <c r="I121" s="7">
        <v>3925.0</v>
      </c>
      <c r="J121" s="7">
        <v>0.064</v>
      </c>
      <c r="K121" s="7">
        <v>3289.0</v>
      </c>
      <c r="L121" s="7">
        <v>2796.79</v>
      </c>
      <c r="M121" s="7">
        <v>4259.0</v>
      </c>
      <c r="N121" s="7">
        <v>0.657</v>
      </c>
      <c r="O121" s="8">
        <v>3551.0</v>
      </c>
      <c r="P121" s="7">
        <v>3808.9</v>
      </c>
      <c r="Q121" s="7">
        <v>2133174.0</v>
      </c>
      <c r="R121" s="7">
        <v>1.79</v>
      </c>
      <c r="S121" s="7">
        <v>2951.0</v>
      </c>
      <c r="T121" s="7">
        <v>0.0</v>
      </c>
      <c r="U121" s="7">
        <v>0.0</v>
      </c>
      <c r="V121" s="7">
        <v>0.0</v>
      </c>
      <c r="W121" s="7">
        <v>23.0</v>
      </c>
      <c r="X121" s="7">
        <v>63.67</v>
      </c>
      <c r="Y121" s="7">
        <v>15626.0</v>
      </c>
      <c r="Z121" s="7">
        <v>4.07</v>
      </c>
      <c r="AA121" s="11">
        <v>0.0</v>
      </c>
      <c r="AB121" s="7"/>
      <c r="AC121" s="10"/>
      <c r="AD121" s="10"/>
    </row>
    <row r="122" ht="15.75" customHeight="1">
      <c r="A122" s="6">
        <v>44682.0</v>
      </c>
      <c r="B122" s="7">
        <f t="shared" si="1"/>
        <v>1</v>
      </c>
      <c r="C122" s="7">
        <f t="shared" si="2"/>
        <v>5</v>
      </c>
      <c r="D122" s="7">
        <v>8306.1</v>
      </c>
      <c r="E122" s="7">
        <v>9519.0</v>
      </c>
      <c r="F122" s="7">
        <v>12471.0</v>
      </c>
      <c r="G122" s="7">
        <v>21990.0</v>
      </c>
      <c r="H122" s="7">
        <v>337.79</v>
      </c>
      <c r="I122" s="7">
        <v>4751.0</v>
      </c>
      <c r="J122" s="7">
        <v>0.071</v>
      </c>
      <c r="K122" s="7">
        <v>3914.0</v>
      </c>
      <c r="L122" s="7">
        <v>3745.84</v>
      </c>
      <c r="M122" s="7">
        <v>5684.0</v>
      </c>
      <c r="N122" s="7">
        <v>0.659</v>
      </c>
      <c r="O122" s="8">
        <v>4675.0</v>
      </c>
      <c r="P122" s="7">
        <v>4153.38</v>
      </c>
      <c r="Q122" s="7">
        <v>3104132.0</v>
      </c>
      <c r="R122" s="7">
        <v>1.34</v>
      </c>
      <c r="S122" s="7">
        <v>3845.0</v>
      </c>
      <c r="T122" s="7">
        <v>0.0</v>
      </c>
      <c r="U122" s="7">
        <v>0.0</v>
      </c>
      <c r="V122" s="7">
        <v>0.0</v>
      </c>
      <c r="W122" s="7">
        <v>49.0</v>
      </c>
      <c r="X122" s="7">
        <v>69.09</v>
      </c>
      <c r="Y122" s="7">
        <v>23296.0</v>
      </c>
      <c r="Z122" s="7">
        <v>2.97</v>
      </c>
      <c r="AA122" s="11">
        <v>0.0</v>
      </c>
      <c r="AB122" s="7"/>
      <c r="AC122" s="10"/>
      <c r="AD122" s="10"/>
    </row>
    <row r="123" ht="15.75" customHeight="1">
      <c r="A123" s="6">
        <v>44683.0</v>
      </c>
      <c r="B123" s="7">
        <f t="shared" si="1"/>
        <v>2</v>
      </c>
      <c r="C123" s="7">
        <f t="shared" si="2"/>
        <v>5</v>
      </c>
      <c r="D123" s="7">
        <v>9330.37</v>
      </c>
      <c r="E123" s="7">
        <v>10769.0</v>
      </c>
      <c r="F123" s="7">
        <v>11797.0</v>
      </c>
      <c r="G123" s="7">
        <v>22566.0</v>
      </c>
      <c r="H123" s="7">
        <v>334.45</v>
      </c>
      <c r="I123" s="7">
        <v>4680.0</v>
      </c>
      <c r="J123" s="7">
        <v>0.071</v>
      </c>
      <c r="K123" s="7">
        <v>4102.0</v>
      </c>
      <c r="L123" s="7">
        <v>4911.76</v>
      </c>
      <c r="M123" s="7">
        <v>5541.0</v>
      </c>
      <c r="N123" s="7">
        <v>0.886</v>
      </c>
      <c r="O123" s="8">
        <v>4674.0</v>
      </c>
      <c r="P123" s="7">
        <v>4014.68</v>
      </c>
      <c r="Q123" s="7">
        <v>2890981.0</v>
      </c>
      <c r="R123" s="7">
        <v>1.39</v>
      </c>
      <c r="S123" s="7">
        <v>3176.0</v>
      </c>
      <c r="T123" s="7">
        <v>0.0</v>
      </c>
      <c r="U123" s="7">
        <v>0.0</v>
      </c>
      <c r="V123" s="7">
        <v>0.0</v>
      </c>
      <c r="W123" s="7">
        <v>61.0</v>
      </c>
      <c r="X123" s="7">
        <v>69.48</v>
      </c>
      <c r="Y123" s="7">
        <v>29355.0</v>
      </c>
      <c r="Z123" s="7">
        <v>2.37</v>
      </c>
      <c r="AA123" s="11">
        <v>0.0</v>
      </c>
      <c r="AB123" s="7"/>
      <c r="AC123" s="10"/>
      <c r="AD123" s="10"/>
    </row>
    <row r="124" ht="15.75" customHeight="1">
      <c r="A124" s="6">
        <v>44684.0</v>
      </c>
      <c r="B124" s="7">
        <f t="shared" si="1"/>
        <v>3</v>
      </c>
      <c r="C124" s="7">
        <f t="shared" si="2"/>
        <v>5</v>
      </c>
      <c r="D124" s="7">
        <v>9992.59</v>
      </c>
      <c r="E124" s="7">
        <v>9524.0</v>
      </c>
      <c r="F124" s="7">
        <v>11640.0</v>
      </c>
      <c r="G124" s="7">
        <v>21164.0</v>
      </c>
      <c r="H124" s="7">
        <v>341.5</v>
      </c>
      <c r="I124" s="7">
        <v>4536.0</v>
      </c>
      <c r="J124" s="7">
        <v>0.075</v>
      </c>
      <c r="K124" s="7">
        <v>3979.0</v>
      </c>
      <c r="L124" s="7">
        <v>5015.15</v>
      </c>
      <c r="M124" s="7">
        <v>5391.0</v>
      </c>
      <c r="N124" s="7">
        <v>0.93</v>
      </c>
      <c r="O124" s="8">
        <v>4535.0</v>
      </c>
      <c r="P124" s="7">
        <v>4585.75</v>
      </c>
      <c r="Q124" s="7">
        <v>2750353.0</v>
      </c>
      <c r="R124" s="7">
        <v>1.67</v>
      </c>
      <c r="S124" s="7">
        <v>3207.0</v>
      </c>
      <c r="T124" s="7">
        <v>0.0</v>
      </c>
      <c r="U124" s="7">
        <v>0.0</v>
      </c>
      <c r="V124" s="7">
        <v>0.0</v>
      </c>
      <c r="W124" s="7">
        <v>59.0</v>
      </c>
      <c r="X124" s="7">
        <v>50.19</v>
      </c>
      <c r="Y124" s="7">
        <v>19116.0</v>
      </c>
      <c r="Z124" s="7">
        <v>2.63</v>
      </c>
      <c r="AA124" s="11">
        <v>0.0</v>
      </c>
      <c r="AB124" s="7"/>
      <c r="AC124" s="10"/>
      <c r="AD124" s="10"/>
    </row>
    <row r="125" ht="15.75" customHeight="1">
      <c r="A125" s="6">
        <v>44685.0</v>
      </c>
      <c r="B125" s="7">
        <f t="shared" si="1"/>
        <v>4</v>
      </c>
      <c r="C125" s="7">
        <f t="shared" si="2"/>
        <v>5</v>
      </c>
      <c r="D125" s="7">
        <v>10347.72</v>
      </c>
      <c r="E125" s="7">
        <v>9853.0</v>
      </c>
      <c r="F125" s="7">
        <v>11049.0</v>
      </c>
      <c r="G125" s="7">
        <v>20902.0</v>
      </c>
      <c r="H125" s="7">
        <v>370.97</v>
      </c>
      <c r="I125" s="7">
        <v>4270.0</v>
      </c>
      <c r="J125" s="7">
        <v>0.087</v>
      </c>
      <c r="K125" s="7">
        <v>3633.0</v>
      </c>
      <c r="L125" s="7">
        <v>5331.26</v>
      </c>
      <c r="M125" s="7">
        <v>5533.0</v>
      </c>
      <c r="N125" s="7">
        <v>0.964</v>
      </c>
      <c r="O125" s="8">
        <v>4512.0</v>
      </c>
      <c r="P125" s="7">
        <v>4602.64</v>
      </c>
      <c r="Q125" s="7">
        <v>2510977.0</v>
      </c>
      <c r="R125" s="7">
        <v>1.83</v>
      </c>
      <c r="S125" s="7">
        <v>2932.0</v>
      </c>
      <c r="T125" s="7">
        <v>0.0</v>
      </c>
      <c r="U125" s="7">
        <v>0.0</v>
      </c>
      <c r="V125" s="7">
        <v>0.0</v>
      </c>
      <c r="W125" s="7">
        <v>80.0</v>
      </c>
      <c r="X125" s="7">
        <v>42.85</v>
      </c>
      <c r="Y125" s="7">
        <v>14577.0</v>
      </c>
      <c r="Z125" s="7">
        <v>2.94</v>
      </c>
      <c r="AA125" s="11">
        <v>0.0</v>
      </c>
      <c r="AB125" s="7"/>
      <c r="AC125" s="10"/>
      <c r="AD125" s="10"/>
    </row>
    <row r="126" ht="15.75" customHeight="1">
      <c r="A126" s="6">
        <v>44686.0</v>
      </c>
      <c r="B126" s="7">
        <f t="shared" si="1"/>
        <v>5</v>
      </c>
      <c r="C126" s="7">
        <f t="shared" si="2"/>
        <v>5</v>
      </c>
      <c r="D126" s="7">
        <v>10150.67</v>
      </c>
      <c r="E126" s="7">
        <v>12132.0</v>
      </c>
      <c r="F126" s="7">
        <v>11336.0</v>
      </c>
      <c r="G126" s="7">
        <v>23468.0</v>
      </c>
      <c r="H126" s="7">
        <v>315.22</v>
      </c>
      <c r="I126" s="7">
        <v>4286.0</v>
      </c>
      <c r="J126" s="7">
        <v>0.074</v>
      </c>
      <c r="K126" s="7">
        <v>3835.0</v>
      </c>
      <c r="L126" s="7">
        <v>5212.82</v>
      </c>
      <c r="M126" s="7">
        <v>5481.0</v>
      </c>
      <c r="N126" s="7">
        <v>0.951</v>
      </c>
      <c r="O126" s="8">
        <v>4555.0</v>
      </c>
      <c r="P126" s="7">
        <v>4583.43</v>
      </c>
      <c r="Q126" s="7">
        <v>2554182.0</v>
      </c>
      <c r="R126" s="7">
        <v>1.79</v>
      </c>
      <c r="S126" s="7">
        <v>2914.0</v>
      </c>
      <c r="T126" s="7">
        <v>0.0</v>
      </c>
      <c r="U126" s="7">
        <v>0.0</v>
      </c>
      <c r="V126" s="7">
        <v>0.0</v>
      </c>
      <c r="W126" s="7">
        <v>76.0</v>
      </c>
      <c r="X126" s="7">
        <v>39.2</v>
      </c>
      <c r="Y126" s="7">
        <v>11284.0</v>
      </c>
      <c r="Z126" s="7">
        <v>3.47</v>
      </c>
      <c r="AA126" s="11">
        <v>0.0</v>
      </c>
      <c r="AB126" s="7"/>
      <c r="AC126" s="10"/>
      <c r="AD126" s="10"/>
    </row>
    <row r="127" ht="15.75" customHeight="1">
      <c r="A127" s="6">
        <v>44687.0</v>
      </c>
      <c r="B127" s="7">
        <f t="shared" si="1"/>
        <v>6</v>
      </c>
      <c r="C127" s="7">
        <f t="shared" si="2"/>
        <v>5</v>
      </c>
      <c r="D127" s="7">
        <v>9137.06</v>
      </c>
      <c r="E127" s="7">
        <v>9924.0</v>
      </c>
      <c r="F127" s="7">
        <v>9773.0</v>
      </c>
      <c r="G127" s="7">
        <v>19697.0</v>
      </c>
      <c r="H127" s="7">
        <v>308.25</v>
      </c>
      <c r="I127" s="7">
        <v>3802.0</v>
      </c>
      <c r="J127" s="7">
        <v>0.081</v>
      </c>
      <c r="K127" s="7">
        <v>3254.0</v>
      </c>
      <c r="L127" s="7">
        <v>4750.91</v>
      </c>
      <c r="M127" s="7">
        <v>4903.0</v>
      </c>
      <c r="N127" s="7">
        <v>0.969</v>
      </c>
      <c r="O127" s="8">
        <v>3885.0</v>
      </c>
      <c r="P127" s="7">
        <v>4034.12</v>
      </c>
      <c r="Q127" s="7">
        <v>2259874.0</v>
      </c>
      <c r="R127" s="7">
        <v>1.79</v>
      </c>
      <c r="S127" s="7">
        <v>2727.0</v>
      </c>
      <c r="T127" s="7">
        <v>0.0</v>
      </c>
      <c r="U127" s="7">
        <v>0.0</v>
      </c>
      <c r="V127" s="7">
        <v>0.0</v>
      </c>
      <c r="W127" s="7">
        <v>65.0</v>
      </c>
      <c r="X127" s="7">
        <v>43.78</v>
      </c>
      <c r="Y127" s="7">
        <v>18210.0</v>
      </c>
      <c r="Z127" s="7">
        <v>2.4</v>
      </c>
      <c r="AA127" s="11">
        <v>0.0</v>
      </c>
      <c r="AB127" s="7"/>
      <c r="AC127" s="10"/>
      <c r="AD127" s="10"/>
    </row>
    <row r="128" ht="15.75" customHeight="1">
      <c r="A128" s="6">
        <v>44688.0</v>
      </c>
      <c r="B128" s="7">
        <f t="shared" si="1"/>
        <v>7</v>
      </c>
      <c r="C128" s="7">
        <f t="shared" si="2"/>
        <v>5</v>
      </c>
      <c r="D128" s="7">
        <v>8598.27</v>
      </c>
      <c r="E128" s="7">
        <v>8384.0</v>
      </c>
      <c r="F128" s="7">
        <v>10116.0</v>
      </c>
      <c r="G128" s="7">
        <v>18500.0</v>
      </c>
      <c r="H128" s="7">
        <v>314.6</v>
      </c>
      <c r="I128" s="7">
        <v>4065.0</v>
      </c>
      <c r="J128" s="7">
        <v>0.077</v>
      </c>
      <c r="K128" s="7">
        <v>3337.0</v>
      </c>
      <c r="L128" s="7">
        <v>4672.4</v>
      </c>
      <c r="M128" s="7">
        <v>5237.0</v>
      </c>
      <c r="N128" s="7">
        <v>0.892</v>
      </c>
      <c r="O128" s="8">
        <v>4365.0</v>
      </c>
      <c r="P128" s="7">
        <v>3574.71</v>
      </c>
      <c r="Q128" s="7">
        <v>2076444.0</v>
      </c>
      <c r="R128" s="7">
        <v>1.72</v>
      </c>
      <c r="S128" s="7">
        <v>2581.0</v>
      </c>
      <c r="T128" s="7">
        <v>0.0</v>
      </c>
      <c r="U128" s="7">
        <v>0.0</v>
      </c>
      <c r="V128" s="7">
        <v>0.0</v>
      </c>
      <c r="W128" s="7">
        <v>38.0</v>
      </c>
      <c r="X128" s="7">
        <v>36.56</v>
      </c>
      <c r="Y128" s="7">
        <v>14490.0</v>
      </c>
      <c r="Z128" s="7">
        <v>2.52</v>
      </c>
      <c r="AA128" s="11">
        <v>0.0</v>
      </c>
      <c r="AB128" s="7"/>
      <c r="AC128" s="10"/>
      <c r="AD128" s="10"/>
    </row>
    <row r="129" ht="15.75" customHeight="1">
      <c r="A129" s="6">
        <v>44689.0</v>
      </c>
      <c r="B129" s="7">
        <f t="shared" si="1"/>
        <v>8</v>
      </c>
      <c r="C129" s="7">
        <f t="shared" si="2"/>
        <v>5</v>
      </c>
      <c r="D129" s="7">
        <v>9224.66</v>
      </c>
      <c r="E129" s="7">
        <v>9836.0</v>
      </c>
      <c r="F129" s="7">
        <v>11781.0</v>
      </c>
      <c r="G129" s="7">
        <v>21617.0</v>
      </c>
      <c r="H129" s="7">
        <v>320.5</v>
      </c>
      <c r="I129" s="7">
        <v>4925.0</v>
      </c>
      <c r="J129" s="7">
        <v>0.065</v>
      </c>
      <c r="K129" s="7">
        <v>4095.0</v>
      </c>
      <c r="L129" s="7">
        <v>4954.79</v>
      </c>
      <c r="M129" s="7">
        <v>5868.0</v>
      </c>
      <c r="N129" s="7">
        <v>0.844</v>
      </c>
      <c r="O129" s="8">
        <v>4786.0</v>
      </c>
      <c r="P129" s="7">
        <v>3906.02</v>
      </c>
      <c r="Q129" s="7">
        <v>2618611.0</v>
      </c>
      <c r="R129" s="7">
        <v>1.49</v>
      </c>
      <c r="S129" s="7">
        <v>3109.0</v>
      </c>
      <c r="T129" s="7">
        <v>0.0</v>
      </c>
      <c r="U129" s="7">
        <v>0.0</v>
      </c>
      <c r="V129" s="7">
        <v>0.0</v>
      </c>
      <c r="W129" s="7">
        <v>52.0</v>
      </c>
      <c r="X129" s="7">
        <v>43.35</v>
      </c>
      <c r="Y129" s="7">
        <v>21924.0</v>
      </c>
      <c r="Z129" s="7">
        <v>1.98</v>
      </c>
      <c r="AA129" s="11">
        <v>0.0</v>
      </c>
      <c r="AB129" s="7"/>
      <c r="AC129" s="10"/>
      <c r="AD129" s="10"/>
    </row>
    <row r="130" ht="15.75" customHeight="1">
      <c r="A130" s="6">
        <v>44690.0</v>
      </c>
      <c r="B130" s="7">
        <f t="shared" si="1"/>
        <v>9</v>
      </c>
      <c r="C130" s="7">
        <f t="shared" si="2"/>
        <v>5</v>
      </c>
      <c r="D130" s="7">
        <v>9578.71</v>
      </c>
      <c r="E130" s="7">
        <v>9264.0</v>
      </c>
      <c r="F130" s="7">
        <v>10143.0</v>
      </c>
      <c r="G130" s="7">
        <v>19407.0</v>
      </c>
      <c r="H130" s="7">
        <v>374.91</v>
      </c>
      <c r="I130" s="7">
        <v>4565.0</v>
      </c>
      <c r="J130" s="7">
        <v>0.082</v>
      </c>
      <c r="K130" s="7">
        <v>3652.0</v>
      </c>
      <c r="L130" s="7">
        <v>5609.69</v>
      </c>
      <c r="M130" s="7">
        <v>5264.0</v>
      </c>
      <c r="N130" s="7">
        <v>1.066</v>
      </c>
      <c r="O130" s="8">
        <v>4138.0</v>
      </c>
      <c r="P130" s="7">
        <v>3560.84</v>
      </c>
      <c r="Q130" s="7">
        <v>2467354.0</v>
      </c>
      <c r="R130" s="7">
        <v>1.44</v>
      </c>
      <c r="S130" s="7">
        <v>2491.0</v>
      </c>
      <c r="T130" s="7">
        <v>0.0</v>
      </c>
      <c r="U130" s="7">
        <v>0.0</v>
      </c>
      <c r="V130" s="7">
        <v>0.0</v>
      </c>
      <c r="W130" s="7">
        <v>80.0</v>
      </c>
      <c r="X130" s="7">
        <v>33.27</v>
      </c>
      <c r="Y130" s="7">
        <v>12751.0</v>
      </c>
      <c r="Z130" s="7">
        <v>2.61</v>
      </c>
      <c r="AA130" s="11">
        <v>0.0</v>
      </c>
      <c r="AB130" s="7"/>
      <c r="AC130" s="10"/>
      <c r="AD130" s="10"/>
    </row>
    <row r="131" ht="15.75" customHeight="1">
      <c r="A131" s="6">
        <v>44691.0</v>
      </c>
      <c r="B131" s="7">
        <f t="shared" si="1"/>
        <v>10</v>
      </c>
      <c r="C131" s="7">
        <f t="shared" si="2"/>
        <v>5</v>
      </c>
      <c r="D131" s="7">
        <v>9093.3</v>
      </c>
      <c r="E131" s="7">
        <v>9596.0</v>
      </c>
      <c r="F131" s="7">
        <v>10630.0</v>
      </c>
      <c r="G131" s="7">
        <v>20226.0</v>
      </c>
      <c r="H131" s="7">
        <v>375.98</v>
      </c>
      <c r="I131" s="7">
        <v>4722.0</v>
      </c>
      <c r="J131" s="7">
        <v>0.08</v>
      </c>
      <c r="K131" s="7">
        <v>4040.0</v>
      </c>
      <c r="L131" s="7">
        <v>5248.5</v>
      </c>
      <c r="M131" s="7">
        <v>5244.0</v>
      </c>
      <c r="N131" s="7">
        <v>1.001</v>
      </c>
      <c r="O131" s="8">
        <v>4139.0</v>
      </c>
      <c r="P131" s="7">
        <v>3415.03</v>
      </c>
      <c r="Q131" s="7">
        <v>2158032.0</v>
      </c>
      <c r="R131" s="7">
        <v>1.58</v>
      </c>
      <c r="S131" s="7">
        <v>2487.0</v>
      </c>
      <c r="T131" s="7">
        <v>0.0</v>
      </c>
      <c r="U131" s="7">
        <v>0.0</v>
      </c>
      <c r="V131" s="7">
        <v>0.0</v>
      </c>
      <c r="W131" s="7">
        <v>67.0</v>
      </c>
      <c r="X131" s="7">
        <v>53.79</v>
      </c>
      <c r="Y131" s="7">
        <v>22915.0</v>
      </c>
      <c r="Z131" s="7">
        <v>2.35</v>
      </c>
      <c r="AA131" s="11">
        <v>0.0</v>
      </c>
      <c r="AB131" s="7"/>
      <c r="AC131" s="10"/>
      <c r="AD131" s="10"/>
    </row>
    <row r="132" ht="15.75" customHeight="1">
      <c r="A132" s="6">
        <v>44692.0</v>
      </c>
      <c r="B132" s="7">
        <f t="shared" si="1"/>
        <v>11</v>
      </c>
      <c r="C132" s="7">
        <f t="shared" si="2"/>
        <v>5</v>
      </c>
      <c r="D132" s="7">
        <v>8197.37</v>
      </c>
      <c r="E132" s="7">
        <v>9123.0</v>
      </c>
      <c r="F132" s="7">
        <v>10094.0</v>
      </c>
      <c r="G132" s="7">
        <v>19217.0</v>
      </c>
      <c r="H132" s="7">
        <v>329.26</v>
      </c>
      <c r="I132" s="7">
        <v>4339.0</v>
      </c>
      <c r="J132" s="7">
        <v>0.076</v>
      </c>
      <c r="K132" s="7">
        <v>3707.0</v>
      </c>
      <c r="L132" s="7">
        <v>4841.24</v>
      </c>
      <c r="M132" s="7">
        <v>4767.0</v>
      </c>
      <c r="N132" s="7">
        <v>1.016</v>
      </c>
      <c r="O132" s="8">
        <v>3927.0</v>
      </c>
      <c r="P132" s="7">
        <v>2972.89</v>
      </c>
      <c r="Q132" s="7">
        <v>1823485.0</v>
      </c>
      <c r="R132" s="7">
        <v>1.63</v>
      </c>
      <c r="S132" s="7">
        <v>2434.0</v>
      </c>
      <c r="T132" s="7">
        <v>0.0</v>
      </c>
      <c r="U132" s="7">
        <v>0.0</v>
      </c>
      <c r="V132" s="7">
        <v>0.0</v>
      </c>
      <c r="W132" s="7">
        <v>78.0</v>
      </c>
      <c r="X132" s="7">
        <v>53.98</v>
      </c>
      <c r="Y132" s="7">
        <v>19084.0</v>
      </c>
      <c r="Z132" s="7">
        <v>2.83</v>
      </c>
      <c r="AA132" s="11">
        <v>0.0</v>
      </c>
      <c r="AB132" s="7"/>
      <c r="AC132" s="10"/>
      <c r="AD132" s="10"/>
    </row>
    <row r="133" ht="15.75" customHeight="1">
      <c r="A133" s="6">
        <v>44693.0</v>
      </c>
      <c r="B133" s="7">
        <f t="shared" si="1"/>
        <v>12</v>
      </c>
      <c r="C133" s="7">
        <f t="shared" si="2"/>
        <v>5</v>
      </c>
      <c r="D133" s="7">
        <v>7711.62</v>
      </c>
      <c r="E133" s="7">
        <v>9139.0</v>
      </c>
      <c r="F133" s="7">
        <v>9477.0</v>
      </c>
      <c r="G133" s="7">
        <v>18616.0</v>
      </c>
      <c r="H133" s="7">
        <v>312.76</v>
      </c>
      <c r="I133" s="7">
        <v>4254.0</v>
      </c>
      <c r="J133" s="7">
        <v>0.074</v>
      </c>
      <c r="K133" s="7">
        <v>3555.0</v>
      </c>
      <c r="L133" s="7">
        <v>4569.85</v>
      </c>
      <c r="M133" s="7">
        <v>4625.0</v>
      </c>
      <c r="N133" s="7">
        <v>0.988</v>
      </c>
      <c r="O133" s="8">
        <v>3849.0</v>
      </c>
      <c r="P133" s="7">
        <v>2793.99</v>
      </c>
      <c r="Q133" s="7">
        <v>1752720.0</v>
      </c>
      <c r="R133" s="7">
        <v>1.59</v>
      </c>
      <c r="S133" s="7">
        <v>2262.0</v>
      </c>
      <c r="T133" s="7">
        <v>0.0</v>
      </c>
      <c r="U133" s="7">
        <v>0.0</v>
      </c>
      <c r="V133" s="7">
        <v>0.0</v>
      </c>
      <c r="W133" s="7">
        <v>88.0</v>
      </c>
      <c r="X133" s="7">
        <v>35.02</v>
      </c>
      <c r="Y133" s="7">
        <v>10393.0</v>
      </c>
      <c r="Z133" s="7">
        <v>3.37</v>
      </c>
      <c r="AA133" s="11">
        <v>0.0</v>
      </c>
      <c r="AB133" s="7"/>
      <c r="AC133" s="10"/>
      <c r="AD133" s="10"/>
    </row>
    <row r="134" ht="15.75" customHeight="1">
      <c r="A134" s="6">
        <v>44694.0</v>
      </c>
      <c r="B134" s="7">
        <f t="shared" si="1"/>
        <v>13</v>
      </c>
      <c r="C134" s="7">
        <f t="shared" si="2"/>
        <v>5</v>
      </c>
      <c r="D134" s="7">
        <v>6843.85</v>
      </c>
      <c r="E134" s="7">
        <v>8262.0</v>
      </c>
      <c r="F134" s="7">
        <v>8898.0</v>
      </c>
      <c r="G134" s="7">
        <v>17160.0</v>
      </c>
      <c r="H134" s="7">
        <v>293.65</v>
      </c>
      <c r="I134" s="7">
        <v>3985.0</v>
      </c>
      <c r="J134" s="7">
        <v>0.074</v>
      </c>
      <c r="K134" s="7">
        <v>3389.0</v>
      </c>
      <c r="L134" s="7">
        <v>3746.83</v>
      </c>
      <c r="M134" s="7">
        <v>4110.0</v>
      </c>
      <c r="N134" s="7">
        <v>0.912</v>
      </c>
      <c r="O134" s="8">
        <v>3450.0</v>
      </c>
      <c r="P134" s="7">
        <v>2765.36</v>
      </c>
      <c r="Q134" s="7">
        <v>1634263.0</v>
      </c>
      <c r="R134" s="7">
        <v>1.69</v>
      </c>
      <c r="S134" s="7">
        <v>2047.0</v>
      </c>
      <c r="T134" s="7">
        <v>0.0</v>
      </c>
      <c r="U134" s="7">
        <v>0.0</v>
      </c>
      <c r="V134" s="7">
        <v>0.0</v>
      </c>
      <c r="W134" s="7">
        <v>74.0</v>
      </c>
      <c r="X134" s="7">
        <v>38.01</v>
      </c>
      <c r="Y134" s="7">
        <v>11786.0</v>
      </c>
      <c r="Z134" s="7">
        <v>3.23</v>
      </c>
      <c r="AA134" s="11">
        <v>0.0</v>
      </c>
      <c r="AB134" s="7"/>
      <c r="AC134" s="10"/>
      <c r="AD134" s="10"/>
    </row>
    <row r="135" ht="15.75" customHeight="1">
      <c r="A135" s="6">
        <v>44695.0</v>
      </c>
      <c r="B135" s="7">
        <f t="shared" si="1"/>
        <v>14</v>
      </c>
      <c r="C135" s="7">
        <f t="shared" si="2"/>
        <v>5</v>
      </c>
      <c r="D135" s="7">
        <v>6922.03</v>
      </c>
      <c r="E135" s="7">
        <v>7547.0</v>
      </c>
      <c r="F135" s="7">
        <v>9451.0</v>
      </c>
      <c r="G135" s="7">
        <v>16998.0</v>
      </c>
      <c r="H135" s="7">
        <v>301.15</v>
      </c>
      <c r="I135" s="7">
        <v>3923.0</v>
      </c>
      <c r="J135" s="7">
        <v>0.077</v>
      </c>
      <c r="K135" s="7">
        <v>3401.0</v>
      </c>
      <c r="L135" s="7">
        <v>3725.01</v>
      </c>
      <c r="M135" s="7">
        <v>4642.0</v>
      </c>
      <c r="N135" s="7">
        <v>0.802</v>
      </c>
      <c r="O135" s="8">
        <v>3799.0</v>
      </c>
      <c r="P135" s="7">
        <v>2851.92</v>
      </c>
      <c r="Q135" s="7">
        <v>1769562.0</v>
      </c>
      <c r="R135" s="7">
        <v>1.61</v>
      </c>
      <c r="S135" s="7">
        <v>2363.0</v>
      </c>
      <c r="T135" s="7">
        <v>0.0</v>
      </c>
      <c r="U135" s="7">
        <v>0.0</v>
      </c>
      <c r="V135" s="7">
        <v>0.0</v>
      </c>
      <c r="W135" s="7">
        <v>37.0</v>
      </c>
      <c r="X135" s="7">
        <v>43.95</v>
      </c>
      <c r="Y135" s="7">
        <v>13095.0</v>
      </c>
      <c r="Z135" s="7">
        <v>3.36</v>
      </c>
      <c r="AA135" s="11">
        <v>0.0</v>
      </c>
      <c r="AB135" s="7"/>
      <c r="AC135" s="10"/>
      <c r="AD135" s="10"/>
    </row>
    <row r="136" ht="15.75" customHeight="1">
      <c r="A136" s="6">
        <v>44696.0</v>
      </c>
      <c r="B136" s="7">
        <f t="shared" si="1"/>
        <v>15</v>
      </c>
      <c r="C136" s="7">
        <f t="shared" si="2"/>
        <v>5</v>
      </c>
      <c r="D136" s="7">
        <v>7763.12</v>
      </c>
      <c r="E136" s="7">
        <v>8829.0</v>
      </c>
      <c r="F136" s="7">
        <v>10935.0</v>
      </c>
      <c r="G136" s="7">
        <v>19764.0</v>
      </c>
      <c r="H136" s="7">
        <v>360.54</v>
      </c>
      <c r="I136" s="7">
        <v>4973.0</v>
      </c>
      <c r="J136" s="7">
        <v>0.072</v>
      </c>
      <c r="K136" s="7">
        <v>3989.0</v>
      </c>
      <c r="L136" s="7">
        <v>4252.51</v>
      </c>
      <c r="M136" s="7">
        <v>5254.0</v>
      </c>
      <c r="N136" s="7">
        <v>0.809</v>
      </c>
      <c r="O136" s="8">
        <v>4371.0</v>
      </c>
      <c r="P136" s="7">
        <v>3098.97</v>
      </c>
      <c r="Q136" s="7">
        <v>2159089.0</v>
      </c>
      <c r="R136" s="7">
        <v>1.44</v>
      </c>
      <c r="S136" s="7">
        <v>2686.0</v>
      </c>
      <c r="T136" s="7">
        <v>0.0</v>
      </c>
      <c r="U136" s="7">
        <v>0.0</v>
      </c>
      <c r="V136" s="7">
        <v>0.0</v>
      </c>
      <c r="W136" s="7">
        <v>41.0</v>
      </c>
      <c r="X136" s="7">
        <v>51.1</v>
      </c>
      <c r="Y136" s="7">
        <v>21540.0</v>
      </c>
      <c r="Z136" s="7">
        <v>2.37</v>
      </c>
      <c r="AA136" s="11">
        <v>0.0</v>
      </c>
      <c r="AB136" s="7"/>
      <c r="AC136" s="10"/>
      <c r="AD136" s="10"/>
    </row>
    <row r="137" ht="15.75" customHeight="1">
      <c r="A137" s="6">
        <v>44697.0</v>
      </c>
      <c r="B137" s="7">
        <f t="shared" si="1"/>
        <v>16</v>
      </c>
      <c r="C137" s="7">
        <f t="shared" si="2"/>
        <v>5</v>
      </c>
      <c r="D137" s="7">
        <v>8811.57</v>
      </c>
      <c r="E137" s="7">
        <v>9941.0</v>
      </c>
      <c r="F137" s="7">
        <v>11314.0</v>
      </c>
      <c r="G137" s="7">
        <v>21255.0</v>
      </c>
      <c r="H137" s="7">
        <v>383.3</v>
      </c>
      <c r="I137" s="7">
        <v>5023.0</v>
      </c>
      <c r="J137" s="7">
        <v>0.076</v>
      </c>
      <c r="K137" s="7">
        <v>4282.0</v>
      </c>
      <c r="L137" s="7">
        <v>5434.8</v>
      </c>
      <c r="M137" s="7">
        <v>5593.0</v>
      </c>
      <c r="N137" s="7">
        <v>0.972</v>
      </c>
      <c r="O137" s="8">
        <v>4778.0</v>
      </c>
      <c r="P137" s="7">
        <v>2958.42</v>
      </c>
      <c r="Q137" s="7">
        <v>2032895.0</v>
      </c>
      <c r="R137" s="7">
        <v>1.46</v>
      </c>
      <c r="S137" s="7">
        <v>2338.0</v>
      </c>
      <c r="T137" s="7">
        <v>0.0</v>
      </c>
      <c r="U137" s="7">
        <v>0.0</v>
      </c>
      <c r="V137" s="7">
        <v>0.0</v>
      </c>
      <c r="W137" s="7">
        <v>102.0</v>
      </c>
      <c r="X137" s="7">
        <v>35.05</v>
      </c>
      <c r="Y137" s="7">
        <v>10072.0</v>
      </c>
      <c r="Z137" s="7">
        <v>3.48</v>
      </c>
      <c r="AA137" s="11">
        <v>0.0</v>
      </c>
      <c r="AB137" s="7"/>
      <c r="AC137" s="10"/>
      <c r="AD137" s="10"/>
    </row>
    <row r="138" ht="15.75" customHeight="1">
      <c r="A138" s="6">
        <v>44698.0</v>
      </c>
      <c r="B138" s="7">
        <f t="shared" si="1"/>
        <v>17</v>
      </c>
      <c r="C138" s="7">
        <f t="shared" si="2"/>
        <v>5</v>
      </c>
      <c r="D138" s="7">
        <v>8039.7</v>
      </c>
      <c r="E138" s="7">
        <v>10234.0</v>
      </c>
      <c r="F138" s="7">
        <v>10939.0</v>
      </c>
      <c r="G138" s="7">
        <v>21173.0</v>
      </c>
      <c r="H138" s="7">
        <v>358.76</v>
      </c>
      <c r="I138" s="7">
        <v>4820.0</v>
      </c>
      <c r="J138" s="7">
        <v>0.074</v>
      </c>
      <c r="K138" s="7">
        <v>4185.0</v>
      </c>
      <c r="L138" s="7">
        <v>4908.06</v>
      </c>
      <c r="M138" s="7">
        <v>5231.0</v>
      </c>
      <c r="N138" s="7">
        <v>0.938</v>
      </c>
      <c r="O138" s="8">
        <v>4394.0</v>
      </c>
      <c r="P138" s="7">
        <v>2746.9</v>
      </c>
      <c r="Q138" s="7">
        <v>1848485.0</v>
      </c>
      <c r="R138" s="7">
        <v>1.49</v>
      </c>
      <c r="S138" s="7">
        <v>2414.0</v>
      </c>
      <c r="T138" s="7">
        <v>0.0</v>
      </c>
      <c r="U138" s="7">
        <v>0.0</v>
      </c>
      <c r="V138" s="7">
        <v>0.0</v>
      </c>
      <c r="W138" s="7">
        <v>70.0</v>
      </c>
      <c r="X138" s="7">
        <v>25.98</v>
      </c>
      <c r="Y138" s="7">
        <v>5887.0</v>
      </c>
      <c r="Z138" s="7">
        <v>4.41</v>
      </c>
      <c r="AA138" s="11">
        <v>0.0</v>
      </c>
      <c r="AB138" s="7"/>
      <c r="AC138" s="10"/>
      <c r="AD138" s="10"/>
    </row>
    <row r="139" ht="15.75" customHeight="1">
      <c r="A139" s="6">
        <v>44699.0</v>
      </c>
      <c r="B139" s="7">
        <f t="shared" si="1"/>
        <v>18</v>
      </c>
      <c r="C139" s="7">
        <f t="shared" si="2"/>
        <v>5</v>
      </c>
      <c r="D139" s="7">
        <v>8688.34</v>
      </c>
      <c r="E139" s="7">
        <v>10062.0</v>
      </c>
      <c r="F139" s="7">
        <v>11675.0</v>
      </c>
      <c r="G139" s="7">
        <v>21737.0</v>
      </c>
      <c r="H139" s="7">
        <v>349.25</v>
      </c>
      <c r="I139" s="7">
        <v>4793.0</v>
      </c>
      <c r="J139" s="7">
        <v>0.073</v>
      </c>
      <c r="K139" s="7">
        <v>4103.0</v>
      </c>
      <c r="L139" s="7">
        <v>5404.85</v>
      </c>
      <c r="M139" s="7">
        <v>5706.0</v>
      </c>
      <c r="N139" s="7">
        <v>0.947</v>
      </c>
      <c r="O139" s="8">
        <v>4712.0</v>
      </c>
      <c r="P139" s="7">
        <v>2885.18</v>
      </c>
      <c r="Q139" s="7">
        <v>1967010.0</v>
      </c>
      <c r="R139" s="7">
        <v>1.47</v>
      </c>
      <c r="S139" s="7">
        <v>2770.0</v>
      </c>
      <c r="T139" s="7">
        <v>0.0</v>
      </c>
      <c r="U139" s="7">
        <v>0.0</v>
      </c>
      <c r="V139" s="7">
        <v>0.0</v>
      </c>
      <c r="W139" s="7">
        <v>68.0</v>
      </c>
      <c r="X139" s="7">
        <v>49.06</v>
      </c>
      <c r="Y139" s="7">
        <v>18488.0</v>
      </c>
      <c r="Z139" s="7">
        <v>2.65</v>
      </c>
      <c r="AA139" s="11">
        <v>7.0</v>
      </c>
      <c r="AB139" s="7"/>
      <c r="AC139" s="10"/>
      <c r="AD139" s="10"/>
    </row>
    <row r="140" ht="15.75" customHeight="1">
      <c r="A140" s="6">
        <v>44700.0</v>
      </c>
      <c r="B140" s="7">
        <f t="shared" si="1"/>
        <v>19</v>
      </c>
      <c r="C140" s="7">
        <f t="shared" si="2"/>
        <v>5</v>
      </c>
      <c r="D140" s="7">
        <v>8668.51</v>
      </c>
      <c r="E140" s="7">
        <v>9441.0</v>
      </c>
      <c r="F140" s="7">
        <v>10772.0</v>
      </c>
      <c r="G140" s="7">
        <v>20213.0</v>
      </c>
      <c r="H140" s="7">
        <v>370.56</v>
      </c>
      <c r="I140" s="7">
        <v>4638.0</v>
      </c>
      <c r="J140" s="7">
        <v>0.08</v>
      </c>
      <c r="K140" s="7">
        <v>3934.0</v>
      </c>
      <c r="L140" s="7">
        <v>5132.36</v>
      </c>
      <c r="M140" s="7">
        <v>5451.0</v>
      </c>
      <c r="N140" s="7">
        <v>0.942</v>
      </c>
      <c r="O140" s="8">
        <v>4512.0</v>
      </c>
      <c r="P140" s="7">
        <v>3135.76</v>
      </c>
      <c r="Q140" s="7">
        <v>2072012.0</v>
      </c>
      <c r="R140" s="7">
        <v>1.51</v>
      </c>
      <c r="S140" s="7">
        <v>2503.0</v>
      </c>
      <c r="T140" s="7">
        <v>0.0</v>
      </c>
      <c r="U140" s="7">
        <v>0.0</v>
      </c>
      <c r="V140" s="7">
        <v>0.0</v>
      </c>
      <c r="W140" s="7">
        <v>55.0</v>
      </c>
      <c r="X140" s="7">
        <v>29.83</v>
      </c>
      <c r="Y140" s="7">
        <v>7485.0</v>
      </c>
      <c r="Z140" s="7">
        <v>3.99</v>
      </c>
      <c r="AA140" s="11">
        <v>1.0</v>
      </c>
      <c r="AB140" s="7"/>
      <c r="AC140" s="10"/>
      <c r="AD140" s="10"/>
    </row>
    <row r="141" ht="15.75" customHeight="1">
      <c r="A141" s="6">
        <v>44701.0</v>
      </c>
      <c r="B141" s="7">
        <f t="shared" si="1"/>
        <v>20</v>
      </c>
      <c r="C141" s="7">
        <f t="shared" si="2"/>
        <v>5</v>
      </c>
      <c r="D141" s="7">
        <v>7801.14</v>
      </c>
      <c r="E141" s="7">
        <v>8425.0</v>
      </c>
      <c r="F141" s="7">
        <v>9893.0</v>
      </c>
      <c r="G141" s="7">
        <v>18318.0</v>
      </c>
      <c r="H141" s="7">
        <v>362.49</v>
      </c>
      <c r="I141" s="7">
        <v>4112.0</v>
      </c>
      <c r="J141" s="7">
        <v>0.088</v>
      </c>
      <c r="K141" s="7">
        <v>3584.0</v>
      </c>
      <c r="L141" s="7">
        <v>4424.73</v>
      </c>
      <c r="M141" s="7">
        <v>4988.0</v>
      </c>
      <c r="N141" s="7">
        <v>0.887</v>
      </c>
      <c r="O141" s="8">
        <v>3984.0</v>
      </c>
      <c r="P141" s="7">
        <v>2968.02</v>
      </c>
      <c r="Q141" s="7">
        <v>1799039.0</v>
      </c>
      <c r="R141" s="7">
        <v>1.65</v>
      </c>
      <c r="S141" s="7">
        <v>2395.0</v>
      </c>
      <c r="T141" s="7">
        <v>0.0</v>
      </c>
      <c r="U141" s="7">
        <v>0.0</v>
      </c>
      <c r="V141" s="7">
        <v>0.0</v>
      </c>
      <c r="W141" s="7">
        <v>69.0</v>
      </c>
      <c r="X141" s="7">
        <v>45.9</v>
      </c>
      <c r="Y141" s="7">
        <v>14672.0</v>
      </c>
      <c r="Z141" s="7">
        <v>3.13</v>
      </c>
      <c r="AA141" s="11">
        <v>13.0</v>
      </c>
      <c r="AB141" s="7"/>
      <c r="AC141" s="10"/>
      <c r="AD141" s="10"/>
    </row>
    <row r="142" ht="15.75" customHeight="1">
      <c r="A142" s="6">
        <v>44702.0</v>
      </c>
      <c r="B142" s="7">
        <f t="shared" si="1"/>
        <v>21</v>
      </c>
      <c r="C142" s="7">
        <f t="shared" si="2"/>
        <v>5</v>
      </c>
      <c r="D142" s="7">
        <v>8347.24</v>
      </c>
      <c r="E142" s="7">
        <v>7774.0</v>
      </c>
      <c r="F142" s="7">
        <v>10001.0</v>
      </c>
      <c r="G142" s="7">
        <v>17775.0</v>
      </c>
      <c r="H142" s="7">
        <v>322.89</v>
      </c>
      <c r="I142" s="7">
        <v>4144.0</v>
      </c>
      <c r="J142" s="7">
        <v>0.078</v>
      </c>
      <c r="K142" s="7">
        <v>3363.0</v>
      </c>
      <c r="L142" s="7">
        <v>4712.77</v>
      </c>
      <c r="M142" s="7">
        <v>5521.0</v>
      </c>
      <c r="N142" s="7">
        <v>0.854</v>
      </c>
      <c r="O142" s="8">
        <v>4273.0</v>
      </c>
      <c r="P142" s="7">
        <v>3266.06</v>
      </c>
      <c r="Q142" s="7">
        <v>1971401.0</v>
      </c>
      <c r="R142" s="7">
        <v>1.66</v>
      </c>
      <c r="S142" s="7">
        <v>2555.0</v>
      </c>
      <c r="T142" s="7">
        <v>0.0</v>
      </c>
      <c r="U142" s="7">
        <v>0.0</v>
      </c>
      <c r="V142" s="7">
        <v>0.0</v>
      </c>
      <c r="W142" s="7">
        <v>30.0</v>
      </c>
      <c r="X142" s="7">
        <v>45.52</v>
      </c>
      <c r="Y142" s="7">
        <v>13257.0</v>
      </c>
      <c r="Z142" s="7">
        <v>3.43</v>
      </c>
      <c r="AA142" s="11">
        <v>8.0</v>
      </c>
      <c r="AB142" s="7"/>
      <c r="AC142" s="10"/>
      <c r="AD142" s="10"/>
    </row>
    <row r="143" ht="15.75" customHeight="1">
      <c r="A143" s="6">
        <v>44703.0</v>
      </c>
      <c r="B143" s="7">
        <f t="shared" si="1"/>
        <v>22</v>
      </c>
      <c r="C143" s="7">
        <f t="shared" si="2"/>
        <v>5</v>
      </c>
      <c r="D143" s="7">
        <v>9476.26</v>
      </c>
      <c r="E143" s="7">
        <v>8792.0</v>
      </c>
      <c r="F143" s="7">
        <v>12012.0</v>
      </c>
      <c r="G143" s="7">
        <v>20804.0</v>
      </c>
      <c r="H143" s="7">
        <v>403.79</v>
      </c>
      <c r="I143" s="7">
        <v>4845.0</v>
      </c>
      <c r="J143" s="7">
        <v>0.083</v>
      </c>
      <c r="K143" s="7">
        <v>3950.0</v>
      </c>
      <c r="L143" s="7">
        <v>5838.19</v>
      </c>
      <c r="M143" s="7">
        <v>6644.0</v>
      </c>
      <c r="N143" s="7">
        <v>0.879</v>
      </c>
      <c r="O143" s="8">
        <v>5281.0</v>
      </c>
      <c r="P143" s="7">
        <v>3189.09</v>
      </c>
      <c r="Q143" s="7">
        <v>2251725.0</v>
      </c>
      <c r="R143" s="7">
        <v>1.42</v>
      </c>
      <c r="S143" s="7">
        <v>2926.0</v>
      </c>
      <c r="T143" s="7">
        <v>0.0</v>
      </c>
      <c r="U143" s="7">
        <v>0.0</v>
      </c>
      <c r="V143" s="7">
        <v>0.0</v>
      </c>
      <c r="W143" s="7">
        <v>51.0</v>
      </c>
      <c r="X143" s="7">
        <v>45.19</v>
      </c>
      <c r="Y143" s="7">
        <v>15922.0</v>
      </c>
      <c r="Z143" s="7">
        <v>2.84</v>
      </c>
      <c r="AA143" s="11">
        <v>7.0</v>
      </c>
      <c r="AB143" s="7"/>
      <c r="AC143" s="10"/>
      <c r="AD143" s="10"/>
    </row>
    <row r="144" ht="15.75" customHeight="1">
      <c r="A144" s="6">
        <v>44704.0</v>
      </c>
      <c r="B144" s="7">
        <f t="shared" si="1"/>
        <v>23</v>
      </c>
      <c r="C144" s="7">
        <f t="shared" si="2"/>
        <v>5</v>
      </c>
      <c r="D144" s="7">
        <v>10352.13</v>
      </c>
      <c r="E144" s="7">
        <v>9715.0</v>
      </c>
      <c r="F144" s="7">
        <v>12245.0</v>
      </c>
      <c r="G144" s="7">
        <v>21960.0</v>
      </c>
      <c r="H144" s="7">
        <v>402.59</v>
      </c>
      <c r="I144" s="7">
        <v>4935.0</v>
      </c>
      <c r="J144" s="7">
        <v>0.082</v>
      </c>
      <c r="K144" s="7">
        <v>4134.0</v>
      </c>
      <c r="L144" s="7">
        <v>6793.0</v>
      </c>
      <c r="M144" s="7">
        <v>6693.0</v>
      </c>
      <c r="N144" s="7">
        <v>1.015</v>
      </c>
      <c r="O144" s="8">
        <v>5314.0</v>
      </c>
      <c r="P144" s="7">
        <v>3107.07</v>
      </c>
      <c r="Q144" s="7">
        <v>2421987.0</v>
      </c>
      <c r="R144" s="7">
        <v>1.28</v>
      </c>
      <c r="S144" s="7">
        <v>2697.0</v>
      </c>
      <c r="T144" s="7">
        <v>0.0</v>
      </c>
      <c r="U144" s="7">
        <v>0.0</v>
      </c>
      <c r="V144" s="7">
        <v>0.0</v>
      </c>
      <c r="W144" s="7">
        <v>113.0</v>
      </c>
      <c r="X144" s="7">
        <v>49.47</v>
      </c>
      <c r="Y144" s="7">
        <v>15660.0</v>
      </c>
      <c r="Z144" s="7">
        <v>3.16</v>
      </c>
      <c r="AA144" s="11">
        <v>5.0</v>
      </c>
      <c r="AB144" s="7"/>
      <c r="AC144" s="10"/>
      <c r="AD144" s="10"/>
    </row>
    <row r="145" ht="15.75" customHeight="1">
      <c r="A145" s="6">
        <v>44705.0</v>
      </c>
      <c r="B145" s="7">
        <f t="shared" si="1"/>
        <v>24</v>
      </c>
      <c r="C145" s="7">
        <f t="shared" si="2"/>
        <v>5</v>
      </c>
      <c r="D145" s="7">
        <v>10186.68</v>
      </c>
      <c r="E145" s="7">
        <v>11331.0</v>
      </c>
      <c r="F145" s="7">
        <v>10548.0</v>
      </c>
      <c r="G145" s="7">
        <v>21879.0</v>
      </c>
      <c r="H145" s="7">
        <v>309.9</v>
      </c>
      <c r="I145" s="7">
        <v>4794.0</v>
      </c>
      <c r="J145" s="7">
        <v>0.065</v>
      </c>
      <c r="K145" s="7">
        <v>3558.0</v>
      </c>
      <c r="L145" s="7">
        <v>6709.87</v>
      </c>
      <c r="M145" s="7">
        <v>6283.0</v>
      </c>
      <c r="N145" s="7">
        <v>1.068</v>
      </c>
      <c r="O145" s="8">
        <v>4462.0</v>
      </c>
      <c r="P145" s="7">
        <v>3118.42</v>
      </c>
      <c r="Q145" s="7">
        <v>2160272.0</v>
      </c>
      <c r="R145" s="7">
        <v>1.44</v>
      </c>
      <c r="S145" s="7">
        <v>2409.0</v>
      </c>
      <c r="T145" s="7">
        <v>0.0</v>
      </c>
      <c r="U145" s="7">
        <v>0.0</v>
      </c>
      <c r="V145" s="7">
        <v>0.0</v>
      </c>
      <c r="W145" s="7">
        <v>110.0</v>
      </c>
      <c r="X145" s="7">
        <v>48.49</v>
      </c>
      <c r="Y145" s="7">
        <v>14462.0</v>
      </c>
      <c r="Z145" s="7">
        <v>3.35</v>
      </c>
      <c r="AA145" s="11">
        <v>6.0</v>
      </c>
      <c r="AB145" s="7"/>
      <c r="AC145" s="10"/>
      <c r="AD145" s="10"/>
    </row>
    <row r="146" ht="15.75" customHeight="1">
      <c r="A146" s="6">
        <v>44706.0</v>
      </c>
      <c r="B146" s="7">
        <f t="shared" si="1"/>
        <v>25</v>
      </c>
      <c r="C146" s="7">
        <f t="shared" si="2"/>
        <v>5</v>
      </c>
      <c r="D146" s="7">
        <v>10315.32</v>
      </c>
      <c r="E146" s="7">
        <v>9406.0</v>
      </c>
      <c r="F146" s="7">
        <v>11400.0</v>
      </c>
      <c r="G146" s="7">
        <v>20806.0</v>
      </c>
      <c r="H146" s="7">
        <v>329.78</v>
      </c>
      <c r="I146" s="7">
        <v>4421.0</v>
      </c>
      <c r="J146" s="7">
        <v>0.075</v>
      </c>
      <c r="K146" s="7">
        <v>3827.0</v>
      </c>
      <c r="L146" s="7">
        <v>6591.05</v>
      </c>
      <c r="M146" s="7">
        <v>5918.0</v>
      </c>
      <c r="N146" s="7">
        <v>1.114</v>
      </c>
      <c r="O146" s="8">
        <v>4754.0</v>
      </c>
      <c r="P146" s="7">
        <v>3344.98</v>
      </c>
      <c r="Q146" s="7">
        <v>2124438.0</v>
      </c>
      <c r="R146" s="7">
        <v>1.57</v>
      </c>
      <c r="S146" s="7">
        <v>2698.0</v>
      </c>
      <c r="T146" s="7">
        <v>0.0</v>
      </c>
      <c r="U146" s="7">
        <v>0.0</v>
      </c>
      <c r="V146" s="7">
        <v>0.0</v>
      </c>
      <c r="W146" s="7">
        <v>116.0</v>
      </c>
      <c r="X146" s="7">
        <v>49.51</v>
      </c>
      <c r="Y146" s="7">
        <v>14345.0</v>
      </c>
      <c r="Z146" s="7">
        <v>3.45</v>
      </c>
      <c r="AA146" s="11">
        <v>7.0</v>
      </c>
      <c r="AB146" s="7"/>
      <c r="AC146" s="10"/>
      <c r="AD146" s="10"/>
    </row>
    <row r="147" ht="15.75" customHeight="1">
      <c r="A147" s="6">
        <v>44707.0</v>
      </c>
      <c r="B147" s="7">
        <f t="shared" si="1"/>
        <v>26</v>
      </c>
      <c r="C147" s="7">
        <f t="shared" si="2"/>
        <v>5</v>
      </c>
      <c r="D147" s="7">
        <v>9599.44</v>
      </c>
      <c r="E147" s="7">
        <v>9131.0</v>
      </c>
      <c r="F147" s="7">
        <v>10716.0</v>
      </c>
      <c r="G147" s="7">
        <v>19847.0</v>
      </c>
      <c r="H147" s="7">
        <v>333.32</v>
      </c>
      <c r="I147" s="7">
        <v>4390.0</v>
      </c>
      <c r="J147" s="7">
        <v>0.076</v>
      </c>
      <c r="K147" s="7">
        <v>3775.0</v>
      </c>
      <c r="L147" s="7">
        <v>5887.11</v>
      </c>
      <c r="M147" s="7">
        <v>5477.0</v>
      </c>
      <c r="N147" s="7">
        <v>1.075</v>
      </c>
      <c r="O147" s="8">
        <v>4369.0</v>
      </c>
      <c r="P147" s="7">
        <v>3324.06</v>
      </c>
      <c r="Q147" s="7">
        <v>2228219.0</v>
      </c>
      <c r="R147" s="7">
        <v>1.49</v>
      </c>
      <c r="S147" s="7">
        <v>2832.0</v>
      </c>
      <c r="T147" s="7">
        <v>0.0</v>
      </c>
      <c r="U147" s="7">
        <v>0.0</v>
      </c>
      <c r="V147" s="7">
        <v>0.0</v>
      </c>
      <c r="W147" s="7">
        <v>89.0</v>
      </c>
      <c r="X147" s="7">
        <v>54.95</v>
      </c>
      <c r="Y147" s="7">
        <v>15786.0</v>
      </c>
      <c r="Z147" s="7">
        <v>3.48</v>
      </c>
      <c r="AA147" s="11">
        <v>10.0</v>
      </c>
      <c r="AB147" s="7"/>
      <c r="AC147" s="10"/>
      <c r="AD147" s="10"/>
    </row>
    <row r="148" ht="15.75" customHeight="1">
      <c r="A148" s="6">
        <v>44708.0</v>
      </c>
      <c r="B148" s="7">
        <f t="shared" si="1"/>
        <v>27</v>
      </c>
      <c r="C148" s="7">
        <f t="shared" si="2"/>
        <v>5</v>
      </c>
      <c r="D148" s="7">
        <v>8377.78</v>
      </c>
      <c r="E148" s="7">
        <v>8253.0</v>
      </c>
      <c r="F148" s="7">
        <v>10009.0</v>
      </c>
      <c r="G148" s="7">
        <v>18262.0</v>
      </c>
      <c r="H148" s="7">
        <v>290.57</v>
      </c>
      <c r="I148" s="7">
        <v>3887.0</v>
      </c>
      <c r="J148" s="7">
        <v>0.075</v>
      </c>
      <c r="K148" s="7">
        <v>3307.0</v>
      </c>
      <c r="L148" s="7">
        <v>4768.74</v>
      </c>
      <c r="M148" s="7">
        <v>4913.0</v>
      </c>
      <c r="N148" s="7">
        <v>0.971</v>
      </c>
      <c r="O148" s="8">
        <v>3939.0</v>
      </c>
      <c r="P148" s="7">
        <v>3268.08</v>
      </c>
      <c r="Q148" s="7">
        <v>2106357.0</v>
      </c>
      <c r="R148" s="7">
        <v>1.55</v>
      </c>
      <c r="S148" s="7">
        <v>2795.0</v>
      </c>
      <c r="T148" s="7">
        <v>0.0</v>
      </c>
      <c r="U148" s="7">
        <v>0.0</v>
      </c>
      <c r="V148" s="7">
        <v>0.0</v>
      </c>
      <c r="W148" s="7">
        <v>80.0</v>
      </c>
      <c r="X148" s="7">
        <v>50.39</v>
      </c>
      <c r="Y148" s="7">
        <v>12758.0</v>
      </c>
      <c r="Z148" s="7">
        <v>3.95</v>
      </c>
      <c r="AA148" s="11">
        <v>6.0</v>
      </c>
      <c r="AB148" s="7"/>
      <c r="AC148" s="10"/>
      <c r="AD148" s="10"/>
    </row>
    <row r="149" ht="15.75" customHeight="1">
      <c r="A149" s="6">
        <v>44709.0</v>
      </c>
      <c r="B149" s="7">
        <f t="shared" si="1"/>
        <v>28</v>
      </c>
      <c r="C149" s="7">
        <f t="shared" si="2"/>
        <v>5</v>
      </c>
      <c r="D149" s="7">
        <v>8322.97</v>
      </c>
      <c r="E149" s="7">
        <v>8094.0</v>
      </c>
      <c r="F149" s="7">
        <v>10799.0</v>
      </c>
      <c r="G149" s="7">
        <v>18893.0</v>
      </c>
      <c r="H149" s="7">
        <v>349.31</v>
      </c>
      <c r="I149" s="7">
        <v>4158.0</v>
      </c>
      <c r="J149" s="7">
        <v>0.084</v>
      </c>
      <c r="K149" s="7">
        <v>3406.0</v>
      </c>
      <c r="L149" s="7">
        <v>4636.15</v>
      </c>
      <c r="M149" s="7">
        <v>5469.0</v>
      </c>
      <c r="N149" s="7">
        <v>0.848</v>
      </c>
      <c r="O149" s="8">
        <v>4351.0</v>
      </c>
      <c r="P149" s="7">
        <v>3280.46</v>
      </c>
      <c r="Q149" s="7">
        <v>2154936.0</v>
      </c>
      <c r="R149" s="7">
        <v>1.52</v>
      </c>
      <c r="S149" s="7">
        <v>3042.0</v>
      </c>
      <c r="T149" s="7">
        <v>0.0</v>
      </c>
      <c r="U149" s="7">
        <v>0.0</v>
      </c>
      <c r="V149" s="7">
        <v>0.0</v>
      </c>
      <c r="W149" s="7">
        <v>61.0</v>
      </c>
      <c r="X149" s="7">
        <v>57.05</v>
      </c>
      <c r="Y149" s="7">
        <v>12679.0</v>
      </c>
      <c r="Z149" s="7">
        <v>4.5</v>
      </c>
      <c r="AA149" s="11">
        <v>2.0</v>
      </c>
      <c r="AB149" s="7"/>
      <c r="AC149" s="10"/>
      <c r="AD149" s="10"/>
    </row>
    <row r="150" ht="15.75" customHeight="1">
      <c r="A150" s="6">
        <v>44710.0</v>
      </c>
      <c r="B150" s="7">
        <f t="shared" si="1"/>
        <v>29</v>
      </c>
      <c r="C150" s="7">
        <f t="shared" si="2"/>
        <v>5</v>
      </c>
      <c r="D150" s="7">
        <v>8350.14</v>
      </c>
      <c r="E150" s="7">
        <v>10242.0</v>
      </c>
      <c r="F150" s="7">
        <v>12550.0</v>
      </c>
      <c r="G150" s="7">
        <v>22792.0</v>
      </c>
      <c r="H150" s="7">
        <v>414.86</v>
      </c>
      <c r="I150" s="7">
        <v>5441.0</v>
      </c>
      <c r="J150" s="7">
        <v>0.076</v>
      </c>
      <c r="K150" s="7">
        <v>4222.0</v>
      </c>
      <c r="L150" s="7">
        <v>4818.03</v>
      </c>
      <c r="M150" s="7">
        <v>6577.0</v>
      </c>
      <c r="N150" s="7">
        <v>0.733</v>
      </c>
      <c r="O150" s="8">
        <v>5250.0</v>
      </c>
      <c r="P150" s="7">
        <v>3060.42</v>
      </c>
      <c r="Q150" s="7">
        <v>2354377.0</v>
      </c>
      <c r="R150" s="7">
        <v>1.3</v>
      </c>
      <c r="S150" s="7">
        <v>3099.0</v>
      </c>
      <c r="T150" s="7">
        <v>0.0</v>
      </c>
      <c r="U150" s="7">
        <v>0.0</v>
      </c>
      <c r="V150" s="7">
        <v>0.0</v>
      </c>
      <c r="W150" s="7">
        <v>62.0</v>
      </c>
      <c r="X150" s="7">
        <v>56.83</v>
      </c>
      <c r="Y150" s="7">
        <v>14688.0</v>
      </c>
      <c r="Z150" s="7">
        <v>3.87</v>
      </c>
      <c r="AA150" s="11">
        <v>8.0</v>
      </c>
      <c r="AB150" s="7"/>
      <c r="AC150" s="10"/>
      <c r="AD150" s="10"/>
    </row>
    <row r="151" ht="15.75" customHeight="1">
      <c r="A151" s="6">
        <v>44711.0</v>
      </c>
      <c r="B151" s="7">
        <f t="shared" si="1"/>
        <v>30</v>
      </c>
      <c r="C151" s="7">
        <f t="shared" si="2"/>
        <v>5</v>
      </c>
      <c r="D151" s="7">
        <v>7965.88</v>
      </c>
      <c r="E151" s="7">
        <v>9924.0</v>
      </c>
      <c r="F151" s="7">
        <v>11764.0</v>
      </c>
      <c r="G151" s="7">
        <v>21688.0</v>
      </c>
      <c r="H151" s="7">
        <v>369.97</v>
      </c>
      <c r="I151" s="7">
        <v>4780.0</v>
      </c>
      <c r="J151" s="7">
        <v>0.077</v>
      </c>
      <c r="K151" s="7">
        <v>4255.0</v>
      </c>
      <c r="L151" s="7">
        <v>4489.77</v>
      </c>
      <c r="M151" s="7">
        <v>5730.0</v>
      </c>
      <c r="N151" s="7">
        <v>0.784</v>
      </c>
      <c r="O151" s="8">
        <v>4599.0</v>
      </c>
      <c r="P151" s="7">
        <v>3052.32</v>
      </c>
      <c r="Q151" s="7">
        <v>2405908.0</v>
      </c>
      <c r="R151" s="7">
        <v>1.27</v>
      </c>
      <c r="S151" s="7">
        <v>2953.0</v>
      </c>
      <c r="T151" s="7">
        <v>0.0</v>
      </c>
      <c r="U151" s="7">
        <v>0.0</v>
      </c>
      <c r="V151" s="7">
        <v>0.0</v>
      </c>
      <c r="W151" s="7">
        <v>85.0</v>
      </c>
      <c r="X151" s="7">
        <v>53.82</v>
      </c>
      <c r="Y151" s="7">
        <v>16517.0</v>
      </c>
      <c r="Z151" s="7">
        <v>3.26</v>
      </c>
      <c r="AA151" s="11">
        <v>4.0</v>
      </c>
      <c r="AB151" s="7"/>
      <c r="AC151" s="10"/>
      <c r="AD151" s="10"/>
    </row>
    <row r="152" ht="15.75" customHeight="1">
      <c r="A152" s="6">
        <v>44712.0</v>
      </c>
      <c r="B152" s="7">
        <f t="shared" si="1"/>
        <v>31</v>
      </c>
      <c r="C152" s="7">
        <f t="shared" si="2"/>
        <v>5</v>
      </c>
      <c r="D152" s="7">
        <v>8228.87</v>
      </c>
      <c r="E152" s="7">
        <v>9613.0</v>
      </c>
      <c r="F152" s="7">
        <v>11281.0</v>
      </c>
      <c r="G152" s="7">
        <v>20894.0</v>
      </c>
      <c r="H152" s="7">
        <v>340.94</v>
      </c>
      <c r="I152" s="7">
        <v>4554.0</v>
      </c>
      <c r="J152" s="7">
        <v>0.075</v>
      </c>
      <c r="K152" s="7">
        <v>3963.0</v>
      </c>
      <c r="L152" s="7">
        <v>4636.84</v>
      </c>
      <c r="M152" s="7">
        <v>5433.0</v>
      </c>
      <c r="N152" s="7">
        <v>0.853</v>
      </c>
      <c r="O152" s="8">
        <v>4520.0</v>
      </c>
      <c r="P152" s="7">
        <v>3199.74</v>
      </c>
      <c r="Q152" s="7">
        <v>2252399.0</v>
      </c>
      <c r="R152" s="7">
        <v>1.42</v>
      </c>
      <c r="S152" s="7">
        <v>3034.0</v>
      </c>
      <c r="T152" s="7">
        <v>0.0</v>
      </c>
      <c r="U152" s="7">
        <v>0.0</v>
      </c>
      <c r="V152" s="7">
        <v>0.0</v>
      </c>
      <c r="W152" s="7">
        <v>74.0</v>
      </c>
      <c r="X152" s="7">
        <v>51.35</v>
      </c>
      <c r="Y152" s="7">
        <v>12512.0</v>
      </c>
      <c r="Z152" s="7">
        <v>4.1</v>
      </c>
      <c r="AA152" s="11">
        <v>4.0</v>
      </c>
      <c r="AB152" s="7"/>
      <c r="AC152" s="10"/>
      <c r="AD152" s="10"/>
    </row>
    <row r="153" ht="15.75" customHeight="1">
      <c r="A153" s="6">
        <v>44713.0</v>
      </c>
      <c r="B153" s="7">
        <f t="shared" si="1"/>
        <v>1</v>
      </c>
      <c r="C153" s="7">
        <f t="shared" si="2"/>
        <v>6</v>
      </c>
      <c r="D153" s="7">
        <v>7988.57</v>
      </c>
      <c r="E153" s="7">
        <v>10349.0</v>
      </c>
      <c r="F153" s="7">
        <v>9919.0</v>
      </c>
      <c r="G153" s="7">
        <v>20268.0</v>
      </c>
      <c r="H153" s="7">
        <v>354.42</v>
      </c>
      <c r="I153" s="7">
        <v>4233.0</v>
      </c>
      <c r="J153" s="7">
        <v>0.084</v>
      </c>
      <c r="K153" s="7">
        <v>3459.0</v>
      </c>
      <c r="L153" s="7">
        <v>4445.41</v>
      </c>
      <c r="M153" s="7">
        <v>4889.0</v>
      </c>
      <c r="N153" s="7">
        <v>0.909</v>
      </c>
      <c r="O153" s="8">
        <v>3753.0</v>
      </c>
      <c r="P153" s="7">
        <v>3137.23</v>
      </c>
      <c r="Q153" s="7">
        <v>2271119.0</v>
      </c>
      <c r="R153" s="7">
        <v>1.38</v>
      </c>
      <c r="S153" s="7">
        <v>2641.0</v>
      </c>
      <c r="T153" s="7">
        <v>0.0</v>
      </c>
      <c r="U153" s="7">
        <v>0.0</v>
      </c>
      <c r="V153" s="7">
        <v>0.0</v>
      </c>
      <c r="W153" s="7">
        <v>78.0</v>
      </c>
      <c r="X153" s="7">
        <v>51.51</v>
      </c>
      <c r="Y153" s="7">
        <v>13492.0</v>
      </c>
      <c r="Z153" s="7">
        <v>3.82</v>
      </c>
      <c r="AA153" s="11">
        <v>4.0</v>
      </c>
      <c r="AB153" s="7"/>
      <c r="AC153" s="10"/>
      <c r="AD153" s="10"/>
    </row>
    <row r="154" ht="15.75" customHeight="1">
      <c r="A154" s="6">
        <v>44714.0</v>
      </c>
      <c r="B154" s="7">
        <f t="shared" si="1"/>
        <v>2</v>
      </c>
      <c r="C154" s="7">
        <f t="shared" si="2"/>
        <v>6</v>
      </c>
      <c r="D154" s="7">
        <v>8685.54</v>
      </c>
      <c r="E154" s="7">
        <v>9526.0</v>
      </c>
      <c r="F154" s="7">
        <v>11593.0</v>
      </c>
      <c r="G154" s="7">
        <v>21119.0</v>
      </c>
      <c r="H154" s="7">
        <v>340.06</v>
      </c>
      <c r="I154" s="7">
        <v>4391.0</v>
      </c>
      <c r="J154" s="7">
        <v>0.077</v>
      </c>
      <c r="K154" s="7">
        <v>3576.0</v>
      </c>
      <c r="L154" s="7">
        <v>5077.22</v>
      </c>
      <c r="M154" s="7">
        <v>6030.0</v>
      </c>
      <c r="N154" s="7">
        <v>0.842</v>
      </c>
      <c r="O154" s="8">
        <v>4618.0</v>
      </c>
      <c r="P154" s="7">
        <v>3208.6</v>
      </c>
      <c r="Q154" s="7">
        <v>2388832.0</v>
      </c>
      <c r="R154" s="7">
        <v>1.34</v>
      </c>
      <c r="S154" s="7">
        <v>3392.0</v>
      </c>
      <c r="T154" s="7">
        <v>0.0</v>
      </c>
      <c r="U154" s="7">
        <v>0.0</v>
      </c>
      <c r="V154" s="7">
        <v>0.0</v>
      </c>
      <c r="W154" s="7">
        <v>66.0</v>
      </c>
      <c r="X154" s="7">
        <v>59.66</v>
      </c>
      <c r="Y154" s="7">
        <v>18659.0</v>
      </c>
      <c r="Z154" s="7">
        <v>3.2</v>
      </c>
      <c r="AA154" s="11">
        <v>8.0</v>
      </c>
      <c r="AB154" s="7"/>
      <c r="AC154" s="10"/>
      <c r="AD154" s="10"/>
    </row>
    <row r="155" ht="15.75" customHeight="1">
      <c r="A155" s="6">
        <v>44715.0</v>
      </c>
      <c r="B155" s="7">
        <f t="shared" si="1"/>
        <v>3</v>
      </c>
      <c r="C155" s="7">
        <f t="shared" si="2"/>
        <v>6</v>
      </c>
      <c r="D155" s="7">
        <v>8621.96</v>
      </c>
      <c r="E155" s="7">
        <v>9394.0</v>
      </c>
      <c r="F155" s="7">
        <v>10852.0</v>
      </c>
      <c r="G155" s="7">
        <v>20246.0</v>
      </c>
      <c r="H155" s="7">
        <v>344.71</v>
      </c>
      <c r="I155" s="7">
        <v>4290.0</v>
      </c>
      <c r="J155" s="7">
        <v>0.08</v>
      </c>
      <c r="K155" s="7">
        <v>3454.0</v>
      </c>
      <c r="L155" s="7">
        <v>5100.45</v>
      </c>
      <c r="M155" s="7">
        <v>5618.0</v>
      </c>
      <c r="N155" s="7">
        <v>0.908</v>
      </c>
      <c r="O155" s="8">
        <v>4405.0</v>
      </c>
      <c r="P155" s="7">
        <v>3117.54</v>
      </c>
      <c r="Q155" s="7">
        <v>2416346.0</v>
      </c>
      <c r="R155" s="7">
        <v>1.29</v>
      </c>
      <c r="S155" s="7">
        <v>3032.0</v>
      </c>
      <c r="T155" s="7">
        <v>0.0</v>
      </c>
      <c r="U155" s="7">
        <v>0.0</v>
      </c>
      <c r="V155" s="7">
        <v>0.0</v>
      </c>
      <c r="W155" s="7">
        <v>88.0</v>
      </c>
      <c r="X155" s="7">
        <v>59.26</v>
      </c>
      <c r="Y155" s="7">
        <v>21083.0</v>
      </c>
      <c r="Z155" s="7">
        <v>2.81</v>
      </c>
      <c r="AA155" s="11">
        <v>9.0</v>
      </c>
      <c r="AB155" s="7"/>
      <c r="AC155" s="10"/>
      <c r="AD155" s="10"/>
    </row>
    <row r="156" ht="15.75" customHeight="1">
      <c r="A156" s="6">
        <v>44716.0</v>
      </c>
      <c r="B156" s="7">
        <f t="shared" si="1"/>
        <v>4</v>
      </c>
      <c r="C156" s="7">
        <f t="shared" si="2"/>
        <v>6</v>
      </c>
      <c r="D156" s="7">
        <v>8449.54</v>
      </c>
      <c r="E156" s="7">
        <v>8821.0</v>
      </c>
      <c r="F156" s="7">
        <v>11454.0</v>
      </c>
      <c r="G156" s="7">
        <v>20275.0</v>
      </c>
      <c r="H156" s="7">
        <v>345.1</v>
      </c>
      <c r="I156" s="7">
        <v>4151.0</v>
      </c>
      <c r="J156" s="7">
        <v>0.083</v>
      </c>
      <c r="K156" s="7">
        <v>3371.0</v>
      </c>
      <c r="L156" s="7">
        <v>4838.99</v>
      </c>
      <c r="M156" s="7">
        <v>5979.0</v>
      </c>
      <c r="N156" s="7">
        <v>0.809</v>
      </c>
      <c r="O156" s="8">
        <v>4522.0</v>
      </c>
      <c r="P156" s="7">
        <v>3209.01</v>
      </c>
      <c r="Q156" s="7">
        <v>2487932.0</v>
      </c>
      <c r="R156" s="7">
        <v>1.29</v>
      </c>
      <c r="S156" s="7">
        <v>3499.0</v>
      </c>
      <c r="T156" s="7">
        <v>0.0</v>
      </c>
      <c r="U156" s="7">
        <v>0.0</v>
      </c>
      <c r="V156" s="7">
        <v>0.0</v>
      </c>
      <c r="W156" s="7">
        <v>66.0</v>
      </c>
      <c r="X156" s="7">
        <v>56.44</v>
      </c>
      <c r="Y156" s="7">
        <v>22326.0</v>
      </c>
      <c r="Z156" s="7">
        <v>2.53</v>
      </c>
      <c r="AA156" s="11">
        <v>6.0</v>
      </c>
      <c r="AB156" s="7"/>
      <c r="AC156" s="10"/>
      <c r="AD156" s="10"/>
    </row>
    <row r="157" ht="15.75" customHeight="1">
      <c r="A157" s="6">
        <v>44717.0</v>
      </c>
      <c r="B157" s="7">
        <f t="shared" si="1"/>
        <v>5</v>
      </c>
      <c r="C157" s="7">
        <f t="shared" si="2"/>
        <v>6</v>
      </c>
      <c r="D157" s="7">
        <v>9112.29</v>
      </c>
      <c r="E157" s="7">
        <v>10693.0</v>
      </c>
      <c r="F157" s="7">
        <v>13118.0</v>
      </c>
      <c r="G157" s="7">
        <v>23811.0</v>
      </c>
      <c r="H157" s="7">
        <v>401.58</v>
      </c>
      <c r="I157" s="7">
        <v>5216.0</v>
      </c>
      <c r="J157" s="7">
        <v>0.077</v>
      </c>
      <c r="K157" s="7">
        <v>3984.0</v>
      </c>
      <c r="L157" s="7">
        <v>5472.57</v>
      </c>
      <c r="M157" s="7">
        <v>6702.0</v>
      </c>
      <c r="N157" s="7">
        <v>0.817</v>
      </c>
      <c r="O157" s="8">
        <v>5241.0</v>
      </c>
      <c r="P157" s="7">
        <v>3178.84</v>
      </c>
      <c r="Q157" s="7">
        <v>2645187.0</v>
      </c>
      <c r="R157" s="7">
        <v>1.2</v>
      </c>
      <c r="S157" s="7">
        <v>3826.0</v>
      </c>
      <c r="T157" s="7">
        <v>0.0</v>
      </c>
      <c r="U157" s="7">
        <v>0.0</v>
      </c>
      <c r="V157" s="7">
        <v>0.0</v>
      </c>
      <c r="W157" s="7">
        <v>93.0</v>
      </c>
      <c r="X157" s="7">
        <v>59.3</v>
      </c>
      <c r="Y157" s="7">
        <v>24209.0</v>
      </c>
      <c r="Z157" s="7">
        <v>2.45</v>
      </c>
      <c r="AA157" s="11">
        <v>7.0</v>
      </c>
      <c r="AB157" s="7"/>
      <c r="AC157" s="10"/>
      <c r="AD157" s="10"/>
    </row>
    <row r="158" ht="15.75" customHeight="1">
      <c r="A158" s="6">
        <v>44718.0</v>
      </c>
      <c r="B158" s="7">
        <f t="shared" si="1"/>
        <v>6</v>
      </c>
      <c r="C158" s="7">
        <f t="shared" si="2"/>
        <v>6</v>
      </c>
      <c r="D158" s="7">
        <v>8856.0</v>
      </c>
      <c r="E158" s="7">
        <v>11035.0</v>
      </c>
      <c r="F158" s="7">
        <v>12409.0</v>
      </c>
      <c r="G158" s="7">
        <v>23444.0</v>
      </c>
      <c r="H158" s="7">
        <v>423.25</v>
      </c>
      <c r="I158" s="7">
        <v>5202.0</v>
      </c>
      <c r="J158" s="7">
        <v>0.081</v>
      </c>
      <c r="K158" s="7">
        <v>4365.0</v>
      </c>
      <c r="L158" s="7">
        <v>5200.88</v>
      </c>
      <c r="M158" s="7">
        <v>5892.0</v>
      </c>
      <c r="N158" s="7">
        <v>0.883</v>
      </c>
      <c r="O158" s="8">
        <v>4853.0</v>
      </c>
      <c r="P158" s="7">
        <v>3173.04</v>
      </c>
      <c r="Q158" s="7">
        <v>2622054.0</v>
      </c>
      <c r="R158" s="7">
        <v>1.21</v>
      </c>
      <c r="S158" s="7">
        <v>3385.0</v>
      </c>
      <c r="T158" s="7">
        <v>0.0</v>
      </c>
      <c r="U158" s="7">
        <v>0.0</v>
      </c>
      <c r="V158" s="7">
        <v>0.0</v>
      </c>
      <c r="W158" s="7">
        <v>93.0</v>
      </c>
      <c r="X158" s="7">
        <v>58.83</v>
      </c>
      <c r="Y158" s="7">
        <v>23782.0</v>
      </c>
      <c r="Z158" s="7">
        <v>2.47</v>
      </c>
      <c r="AA158" s="11">
        <v>6.0</v>
      </c>
      <c r="AB158" s="7"/>
      <c r="AC158" s="10"/>
      <c r="AD158" s="10"/>
    </row>
    <row r="159" ht="15.75" customHeight="1">
      <c r="A159" s="6">
        <v>44719.0</v>
      </c>
      <c r="B159" s="7">
        <f t="shared" si="1"/>
        <v>7</v>
      </c>
      <c r="C159" s="7">
        <f t="shared" si="2"/>
        <v>6</v>
      </c>
      <c r="D159" s="7">
        <v>8771.57</v>
      </c>
      <c r="E159" s="7">
        <v>10216.0</v>
      </c>
      <c r="F159" s="7">
        <v>12085.0</v>
      </c>
      <c r="G159" s="7">
        <v>22301.0</v>
      </c>
      <c r="H159" s="7">
        <v>465.44</v>
      </c>
      <c r="I159" s="7">
        <v>5089.0</v>
      </c>
      <c r="J159" s="7">
        <v>0.091</v>
      </c>
      <c r="K159" s="7">
        <v>4214.0</v>
      </c>
      <c r="L159" s="7">
        <v>4957.13</v>
      </c>
      <c r="M159" s="7">
        <v>5826.0</v>
      </c>
      <c r="N159" s="7">
        <v>0.851</v>
      </c>
      <c r="O159" s="8">
        <v>4852.0</v>
      </c>
      <c r="P159" s="7">
        <v>3290.24</v>
      </c>
      <c r="Q159" s="7">
        <v>2408823.0</v>
      </c>
      <c r="R159" s="7">
        <v>1.37</v>
      </c>
      <c r="S159" s="7">
        <v>3217.0</v>
      </c>
      <c r="T159" s="7">
        <v>0.0</v>
      </c>
      <c r="U159" s="7">
        <v>0.0</v>
      </c>
      <c r="V159" s="7">
        <v>0.0</v>
      </c>
      <c r="W159" s="7">
        <v>105.0</v>
      </c>
      <c r="X159" s="7">
        <v>58.76</v>
      </c>
      <c r="Y159" s="7">
        <v>20241.0</v>
      </c>
      <c r="Z159" s="7">
        <v>2.9</v>
      </c>
      <c r="AA159" s="11">
        <v>1.0</v>
      </c>
      <c r="AB159" s="7"/>
      <c r="AC159" s="10"/>
      <c r="AD159" s="10"/>
    </row>
    <row r="160" ht="15.75" customHeight="1">
      <c r="A160" s="6">
        <v>44720.0</v>
      </c>
      <c r="B160" s="7">
        <f t="shared" si="1"/>
        <v>8</v>
      </c>
      <c r="C160" s="7">
        <f t="shared" si="2"/>
        <v>6</v>
      </c>
      <c r="D160" s="7">
        <v>9479.74</v>
      </c>
      <c r="E160" s="7">
        <v>10587.0</v>
      </c>
      <c r="F160" s="7">
        <v>12195.0</v>
      </c>
      <c r="G160" s="7">
        <v>22782.0</v>
      </c>
      <c r="H160" s="7">
        <v>606.95</v>
      </c>
      <c r="I160" s="7">
        <v>4871.0</v>
      </c>
      <c r="J160" s="7">
        <v>0.125</v>
      </c>
      <c r="K160" s="7">
        <v>4177.0</v>
      </c>
      <c r="L160" s="7">
        <v>5331.79</v>
      </c>
      <c r="M160" s="7">
        <v>6018.0</v>
      </c>
      <c r="N160" s="7">
        <v>0.886</v>
      </c>
      <c r="O160" s="8">
        <v>4686.0</v>
      </c>
      <c r="P160" s="7">
        <v>3461.76</v>
      </c>
      <c r="Q160" s="7">
        <v>2325959.0</v>
      </c>
      <c r="R160" s="7">
        <v>1.49</v>
      </c>
      <c r="S160" s="7">
        <v>3221.0</v>
      </c>
      <c r="T160" s="7">
        <v>0.0</v>
      </c>
      <c r="U160" s="7">
        <v>0.0</v>
      </c>
      <c r="V160" s="7">
        <v>0.0</v>
      </c>
      <c r="W160" s="7">
        <v>99.0</v>
      </c>
      <c r="X160" s="7">
        <v>79.24</v>
      </c>
      <c r="Y160" s="7">
        <v>32765.0</v>
      </c>
      <c r="Z160" s="7">
        <v>2.42</v>
      </c>
      <c r="AA160" s="11">
        <v>4.0</v>
      </c>
      <c r="AB160" s="7"/>
      <c r="AC160" s="10"/>
      <c r="AD160" s="10"/>
    </row>
    <row r="161" ht="15.75" customHeight="1">
      <c r="A161" s="6">
        <v>44721.0</v>
      </c>
      <c r="B161" s="7">
        <f t="shared" si="1"/>
        <v>9</v>
      </c>
      <c r="C161" s="7">
        <f t="shared" si="2"/>
        <v>6</v>
      </c>
      <c r="D161" s="7">
        <v>9680.75</v>
      </c>
      <c r="E161" s="7">
        <v>9856.0</v>
      </c>
      <c r="F161" s="7">
        <v>12007.0</v>
      </c>
      <c r="G161" s="7">
        <v>21863.0</v>
      </c>
      <c r="H161" s="7">
        <v>634.36</v>
      </c>
      <c r="I161" s="7">
        <v>4513.0</v>
      </c>
      <c r="J161" s="7">
        <v>0.141</v>
      </c>
      <c r="K161" s="7">
        <v>3817.0</v>
      </c>
      <c r="L161" s="7">
        <v>5254.84</v>
      </c>
      <c r="M161" s="7">
        <v>5946.0</v>
      </c>
      <c r="N161" s="7">
        <v>0.884</v>
      </c>
      <c r="O161" s="8">
        <v>4794.0</v>
      </c>
      <c r="P161" s="7">
        <v>3732.7</v>
      </c>
      <c r="Q161" s="7">
        <v>2374878.0</v>
      </c>
      <c r="R161" s="7">
        <v>1.57</v>
      </c>
      <c r="S161" s="7">
        <v>3566.0</v>
      </c>
      <c r="T161" s="7">
        <v>0.0</v>
      </c>
      <c r="U161" s="7">
        <v>0.0</v>
      </c>
      <c r="V161" s="7">
        <v>0.0</v>
      </c>
      <c r="W161" s="7">
        <v>107.0</v>
      </c>
      <c r="X161" s="7">
        <v>58.85</v>
      </c>
      <c r="Y161" s="7">
        <v>22579.0</v>
      </c>
      <c r="Z161" s="7">
        <v>2.61</v>
      </c>
      <c r="AA161" s="11">
        <v>0.0</v>
      </c>
      <c r="AB161" s="7"/>
      <c r="AC161" s="10"/>
      <c r="AD161" s="10"/>
    </row>
    <row r="162" ht="15.75" customHeight="1">
      <c r="A162" s="6">
        <v>44722.0</v>
      </c>
      <c r="B162" s="7">
        <f t="shared" si="1"/>
        <v>10</v>
      </c>
      <c r="C162" s="7">
        <f t="shared" si="2"/>
        <v>6</v>
      </c>
      <c r="D162" s="7">
        <v>9226.49</v>
      </c>
      <c r="E162" s="7">
        <v>8633.0</v>
      </c>
      <c r="F162" s="7">
        <v>11085.0</v>
      </c>
      <c r="G162" s="7">
        <v>19718.0</v>
      </c>
      <c r="H162" s="7">
        <v>422.21</v>
      </c>
      <c r="I162" s="7">
        <v>4247.0</v>
      </c>
      <c r="J162" s="7">
        <v>0.099</v>
      </c>
      <c r="K162" s="7">
        <v>3676.0</v>
      </c>
      <c r="L162" s="7">
        <v>4975.51</v>
      </c>
      <c r="M162" s="7">
        <v>5759.0</v>
      </c>
      <c r="N162" s="7">
        <v>0.864</v>
      </c>
      <c r="O162" s="8">
        <v>4424.0</v>
      </c>
      <c r="P162" s="7">
        <v>3776.95</v>
      </c>
      <c r="Q162" s="7">
        <v>2249726.0</v>
      </c>
      <c r="R162" s="7">
        <v>1.68</v>
      </c>
      <c r="S162" s="7">
        <v>3193.0</v>
      </c>
      <c r="T162" s="7">
        <v>0.0</v>
      </c>
      <c r="U162" s="7">
        <v>0.0</v>
      </c>
      <c r="V162" s="7">
        <v>0.0</v>
      </c>
      <c r="W162" s="7">
        <v>101.0</v>
      </c>
      <c r="X162" s="7">
        <v>51.82</v>
      </c>
      <c r="Y162" s="7">
        <v>18628.0</v>
      </c>
      <c r="Z162" s="7">
        <v>2.78</v>
      </c>
      <c r="AA162" s="11">
        <v>0.0</v>
      </c>
      <c r="AB162" s="7"/>
      <c r="AC162" s="10"/>
      <c r="AD162" s="10"/>
    </row>
    <row r="163" ht="15.75" customHeight="1">
      <c r="A163" s="6">
        <v>44723.0</v>
      </c>
      <c r="B163" s="7">
        <f t="shared" si="1"/>
        <v>11</v>
      </c>
      <c r="C163" s="7">
        <f t="shared" si="2"/>
        <v>6</v>
      </c>
      <c r="D163" s="7">
        <v>9557.55</v>
      </c>
      <c r="E163" s="7">
        <v>9567.0</v>
      </c>
      <c r="F163" s="7">
        <v>9953.0</v>
      </c>
      <c r="G163" s="7">
        <v>19520.0</v>
      </c>
      <c r="H163" s="7">
        <v>441.0</v>
      </c>
      <c r="I163" s="7">
        <v>3998.0</v>
      </c>
      <c r="J163" s="7">
        <v>0.11</v>
      </c>
      <c r="K163" s="7">
        <v>2934.0</v>
      </c>
      <c r="L163" s="7">
        <v>5177.0</v>
      </c>
      <c r="M163" s="7">
        <v>6110.0</v>
      </c>
      <c r="N163" s="7">
        <v>0.847</v>
      </c>
      <c r="O163" s="8">
        <v>4081.0</v>
      </c>
      <c r="P163" s="7">
        <v>3889.55</v>
      </c>
      <c r="Q163" s="7">
        <v>2333210.0</v>
      </c>
      <c r="R163" s="7">
        <v>1.67</v>
      </c>
      <c r="S163" s="7">
        <v>2826.0</v>
      </c>
      <c r="T163" s="7">
        <v>0.0</v>
      </c>
      <c r="U163" s="7">
        <v>0.0</v>
      </c>
      <c r="V163" s="7">
        <v>0.0</v>
      </c>
      <c r="W163" s="7">
        <v>80.0</v>
      </c>
      <c r="X163" s="7">
        <v>50.0</v>
      </c>
      <c r="Y163" s="7">
        <v>18337.0</v>
      </c>
      <c r="Z163" s="7">
        <v>2.73</v>
      </c>
      <c r="AA163" s="11">
        <v>0.0</v>
      </c>
      <c r="AB163" s="7"/>
      <c r="AC163" s="10"/>
      <c r="AD163" s="10"/>
    </row>
    <row r="164" ht="15.75" customHeight="1">
      <c r="A164" s="6">
        <v>44724.0</v>
      </c>
      <c r="B164" s="7">
        <f t="shared" si="1"/>
        <v>12</v>
      </c>
      <c r="C164" s="7">
        <f t="shared" si="2"/>
        <v>6</v>
      </c>
      <c r="D164" s="7">
        <v>10635.54</v>
      </c>
      <c r="E164" s="7">
        <v>11862.0</v>
      </c>
      <c r="F164" s="7">
        <v>10868.0</v>
      </c>
      <c r="G164" s="7">
        <v>22730.0</v>
      </c>
      <c r="H164" s="7">
        <v>478.23</v>
      </c>
      <c r="I164" s="7">
        <v>4902.0</v>
      </c>
      <c r="J164" s="7">
        <v>0.098</v>
      </c>
      <c r="K164" s="7">
        <v>3061.0</v>
      </c>
      <c r="L164" s="7">
        <v>6161.16</v>
      </c>
      <c r="M164" s="7">
        <v>7388.0</v>
      </c>
      <c r="N164" s="7">
        <v>0.834</v>
      </c>
      <c r="O164" s="8">
        <v>4529.0</v>
      </c>
      <c r="P164" s="7">
        <v>3947.33</v>
      </c>
      <c r="Q164" s="7">
        <v>2883734.0</v>
      </c>
      <c r="R164" s="7">
        <v>1.37</v>
      </c>
      <c r="S164" s="7">
        <v>3166.0</v>
      </c>
      <c r="T164" s="7">
        <v>0.0</v>
      </c>
      <c r="U164" s="7">
        <v>0.0</v>
      </c>
      <c r="V164" s="7">
        <v>0.0</v>
      </c>
      <c r="W164" s="7">
        <v>93.0</v>
      </c>
      <c r="X164" s="7">
        <v>48.82</v>
      </c>
      <c r="Y164" s="7">
        <v>18383.0</v>
      </c>
      <c r="Z164" s="7">
        <v>2.66</v>
      </c>
      <c r="AA164" s="11">
        <v>0.0</v>
      </c>
      <c r="AB164" s="7"/>
      <c r="AC164" s="10"/>
      <c r="AD164" s="10"/>
    </row>
    <row r="165" ht="15.75" customHeight="1">
      <c r="A165" s="6">
        <v>44725.0</v>
      </c>
      <c r="B165" s="7">
        <f t="shared" si="1"/>
        <v>13</v>
      </c>
      <c r="C165" s="7">
        <f t="shared" si="2"/>
        <v>6</v>
      </c>
      <c r="D165" s="7">
        <v>9824.25</v>
      </c>
      <c r="E165" s="7">
        <v>10580.0</v>
      </c>
      <c r="F165" s="7">
        <v>13029.0</v>
      </c>
      <c r="G165" s="7">
        <v>23609.0</v>
      </c>
      <c r="H165" s="7">
        <v>536.84</v>
      </c>
      <c r="I165" s="7">
        <v>5134.0</v>
      </c>
      <c r="J165" s="7">
        <v>0.105</v>
      </c>
      <c r="K165" s="7">
        <v>4349.0</v>
      </c>
      <c r="L165" s="7">
        <v>5371.54</v>
      </c>
      <c r="M165" s="7">
        <v>6048.0</v>
      </c>
      <c r="N165" s="7">
        <v>0.888</v>
      </c>
      <c r="O165" s="8">
        <v>4864.0</v>
      </c>
      <c r="P165" s="7">
        <v>3866.04</v>
      </c>
      <c r="Q165" s="7">
        <v>3003211.0</v>
      </c>
      <c r="R165" s="7">
        <v>1.29</v>
      </c>
      <c r="S165" s="7">
        <v>3814.0</v>
      </c>
      <c r="T165" s="7">
        <v>0.0</v>
      </c>
      <c r="U165" s="7">
        <v>0.0</v>
      </c>
      <c r="V165" s="7">
        <v>0.0</v>
      </c>
      <c r="W165" s="7">
        <v>123.0</v>
      </c>
      <c r="X165" s="7">
        <v>49.83</v>
      </c>
      <c r="Y165" s="7">
        <v>17796.0</v>
      </c>
      <c r="Z165" s="7">
        <v>2.8</v>
      </c>
      <c r="AA165" s="11">
        <v>0.0</v>
      </c>
      <c r="AB165" s="7"/>
      <c r="AC165" s="10"/>
      <c r="AD165" s="10"/>
    </row>
    <row r="166" ht="15.75" customHeight="1">
      <c r="A166" s="6">
        <v>44726.0</v>
      </c>
      <c r="B166" s="7">
        <f t="shared" si="1"/>
        <v>14</v>
      </c>
      <c r="C166" s="7">
        <f t="shared" si="2"/>
        <v>6</v>
      </c>
      <c r="D166" s="7">
        <v>8865.41</v>
      </c>
      <c r="E166" s="7">
        <v>10331.0</v>
      </c>
      <c r="F166" s="7">
        <v>12221.0</v>
      </c>
      <c r="G166" s="7">
        <v>22552.0</v>
      </c>
      <c r="H166" s="7">
        <v>578.84</v>
      </c>
      <c r="I166" s="7">
        <v>4993.0</v>
      </c>
      <c r="J166" s="7">
        <v>0.116</v>
      </c>
      <c r="K166" s="7">
        <v>4337.0</v>
      </c>
      <c r="L166" s="7">
        <v>4620.42</v>
      </c>
      <c r="M166" s="7">
        <v>5678.0</v>
      </c>
      <c r="N166" s="7">
        <v>0.814</v>
      </c>
      <c r="O166" s="8">
        <v>4746.0</v>
      </c>
      <c r="P166" s="7">
        <v>3617.0</v>
      </c>
      <c r="Q166" s="7">
        <v>2521963.0</v>
      </c>
      <c r="R166" s="7">
        <v>1.43</v>
      </c>
      <c r="S166" s="7">
        <v>3383.0</v>
      </c>
      <c r="T166" s="7">
        <v>0.0</v>
      </c>
      <c r="U166" s="7">
        <v>0.0</v>
      </c>
      <c r="V166" s="7">
        <v>0.0</v>
      </c>
      <c r="W166" s="7">
        <v>102.0</v>
      </c>
      <c r="X166" s="7">
        <v>49.15</v>
      </c>
      <c r="Y166" s="7">
        <v>15989.0</v>
      </c>
      <c r="Z166" s="7">
        <v>3.07</v>
      </c>
      <c r="AA166" s="11">
        <v>0.0</v>
      </c>
      <c r="AB166" s="7"/>
      <c r="AC166" s="10"/>
      <c r="AD166" s="10"/>
    </row>
    <row r="167" ht="15.75" customHeight="1">
      <c r="A167" s="6">
        <v>44727.0</v>
      </c>
      <c r="B167" s="7">
        <f t="shared" si="1"/>
        <v>15</v>
      </c>
      <c r="C167" s="7">
        <f t="shared" si="2"/>
        <v>6</v>
      </c>
      <c r="D167" s="7">
        <v>8888.25</v>
      </c>
      <c r="E167" s="7">
        <v>12080.0</v>
      </c>
      <c r="F167" s="7">
        <v>9924.0</v>
      </c>
      <c r="G167" s="7">
        <v>22004.0</v>
      </c>
      <c r="H167" s="7">
        <v>490.64</v>
      </c>
      <c r="I167" s="7">
        <v>4678.0</v>
      </c>
      <c r="J167" s="7">
        <v>0.105</v>
      </c>
      <c r="K167" s="7">
        <v>3343.0</v>
      </c>
      <c r="L167" s="7">
        <v>4652.46</v>
      </c>
      <c r="M167" s="7">
        <v>5536.0</v>
      </c>
      <c r="N167" s="7">
        <v>0.84</v>
      </c>
      <c r="O167" s="8">
        <v>3967.0</v>
      </c>
      <c r="P167" s="7">
        <v>3695.33</v>
      </c>
      <c r="Q167" s="7">
        <v>2390989.0</v>
      </c>
      <c r="R167" s="7">
        <v>1.55</v>
      </c>
      <c r="S167" s="7">
        <v>2622.0</v>
      </c>
      <c r="T167" s="7">
        <v>0.0</v>
      </c>
      <c r="U167" s="7">
        <v>0.0</v>
      </c>
      <c r="V167" s="7">
        <v>0.0</v>
      </c>
      <c r="W167" s="7">
        <v>97.0</v>
      </c>
      <c r="X167" s="7">
        <v>49.82</v>
      </c>
      <c r="Y167" s="7">
        <v>16778.0</v>
      </c>
      <c r="Z167" s="7">
        <v>2.97</v>
      </c>
      <c r="AA167" s="11">
        <v>0.0</v>
      </c>
      <c r="AB167" s="7"/>
      <c r="AC167" s="10"/>
      <c r="AD167" s="10"/>
    </row>
    <row r="168" ht="15.75" customHeight="1">
      <c r="A168" s="6">
        <v>44728.0</v>
      </c>
      <c r="B168" s="7">
        <f t="shared" si="1"/>
        <v>16</v>
      </c>
      <c r="C168" s="7">
        <f t="shared" si="2"/>
        <v>6</v>
      </c>
      <c r="D168" s="7">
        <v>8850.34</v>
      </c>
      <c r="E168" s="7">
        <v>9887.0</v>
      </c>
      <c r="F168" s="7">
        <v>11442.0</v>
      </c>
      <c r="G168" s="7">
        <v>21329.0</v>
      </c>
      <c r="H168" s="7">
        <v>597.44</v>
      </c>
      <c r="I168" s="7">
        <v>4709.0</v>
      </c>
      <c r="J168" s="7">
        <v>0.127</v>
      </c>
      <c r="K168" s="7">
        <v>3980.0</v>
      </c>
      <c r="L168" s="7">
        <v>4540.08</v>
      </c>
      <c r="M168" s="7">
        <v>5317.0</v>
      </c>
      <c r="N168" s="7">
        <v>0.854</v>
      </c>
      <c r="O168" s="8">
        <v>4437.0</v>
      </c>
      <c r="P168" s="7">
        <v>3667.18</v>
      </c>
      <c r="Q168" s="7">
        <v>2115029.0</v>
      </c>
      <c r="R168" s="7">
        <v>1.73</v>
      </c>
      <c r="S168" s="7">
        <v>3082.0</v>
      </c>
      <c r="T168" s="7">
        <v>0.0</v>
      </c>
      <c r="U168" s="7">
        <v>0.0</v>
      </c>
      <c r="V168" s="7">
        <v>0.0</v>
      </c>
      <c r="W168" s="7">
        <v>88.0</v>
      </c>
      <c r="X168" s="7">
        <v>45.64</v>
      </c>
      <c r="Y168" s="7">
        <v>17050.0</v>
      </c>
      <c r="Z168" s="7">
        <v>2.68</v>
      </c>
      <c r="AA168" s="11">
        <v>0.0</v>
      </c>
      <c r="AB168" s="7"/>
      <c r="AC168" s="10"/>
      <c r="AD168" s="10"/>
    </row>
    <row r="169" ht="15.75" customHeight="1">
      <c r="A169" s="6">
        <v>44729.0</v>
      </c>
      <c r="B169" s="7">
        <f t="shared" si="1"/>
        <v>17</v>
      </c>
      <c r="C169" s="7">
        <f t="shared" si="2"/>
        <v>6</v>
      </c>
      <c r="D169" s="7">
        <v>7573.41</v>
      </c>
      <c r="E169" s="7">
        <v>8833.0</v>
      </c>
      <c r="F169" s="7">
        <v>10748.0</v>
      </c>
      <c r="G169" s="7">
        <v>19581.0</v>
      </c>
      <c r="H169" s="7">
        <v>425.92</v>
      </c>
      <c r="I169" s="7">
        <v>4075.0</v>
      </c>
      <c r="J169" s="7">
        <v>0.105</v>
      </c>
      <c r="K169" s="7">
        <v>3581.0</v>
      </c>
      <c r="L169" s="7">
        <v>3794.1</v>
      </c>
      <c r="M169" s="7">
        <v>4980.0</v>
      </c>
      <c r="N169" s="7">
        <v>0.762</v>
      </c>
      <c r="O169" s="8">
        <v>4180.0</v>
      </c>
      <c r="P169" s="7">
        <v>3303.69</v>
      </c>
      <c r="Q169" s="7">
        <v>1977195.0</v>
      </c>
      <c r="R169" s="7">
        <v>1.67</v>
      </c>
      <c r="S169" s="7">
        <v>3225.0</v>
      </c>
      <c r="T169" s="7">
        <v>0.0</v>
      </c>
      <c r="U169" s="7">
        <v>0.0</v>
      </c>
      <c r="V169" s="7">
        <v>0.0</v>
      </c>
      <c r="W169" s="7">
        <v>78.0</v>
      </c>
      <c r="X169" s="7">
        <v>49.7</v>
      </c>
      <c r="Y169" s="7">
        <v>20290.0</v>
      </c>
      <c r="Z169" s="7">
        <v>2.45</v>
      </c>
      <c r="AA169" s="11">
        <v>0.0</v>
      </c>
      <c r="AB169" s="7"/>
      <c r="AC169" s="10"/>
      <c r="AD169" s="10"/>
    </row>
    <row r="170" ht="15.75" customHeight="1">
      <c r="A170" s="6">
        <v>44730.0</v>
      </c>
      <c r="B170" s="7">
        <f t="shared" si="1"/>
        <v>18</v>
      </c>
      <c r="C170" s="7">
        <f t="shared" si="2"/>
        <v>6</v>
      </c>
      <c r="D170" s="7">
        <v>7328.32</v>
      </c>
      <c r="E170" s="7">
        <v>8606.0</v>
      </c>
      <c r="F170" s="7">
        <v>10734.0</v>
      </c>
      <c r="G170" s="7">
        <v>19340.0</v>
      </c>
      <c r="H170" s="7">
        <v>371.28</v>
      </c>
      <c r="I170" s="7">
        <v>4002.0</v>
      </c>
      <c r="J170" s="7">
        <v>0.093</v>
      </c>
      <c r="K170" s="7">
        <v>3168.0</v>
      </c>
      <c r="L170" s="7">
        <v>3909.32</v>
      </c>
      <c r="M170" s="7">
        <v>5343.0</v>
      </c>
      <c r="N170" s="7">
        <v>0.732</v>
      </c>
      <c r="O170" s="8">
        <v>4168.0</v>
      </c>
      <c r="P170" s="7">
        <v>2998.15</v>
      </c>
      <c r="Q170" s="7">
        <v>1977280.0</v>
      </c>
      <c r="R170" s="7">
        <v>1.52</v>
      </c>
      <c r="S170" s="7">
        <v>3541.0</v>
      </c>
      <c r="T170" s="7">
        <v>0.0</v>
      </c>
      <c r="U170" s="7">
        <v>0.0</v>
      </c>
      <c r="V170" s="7">
        <v>0.0</v>
      </c>
      <c r="W170" s="7">
        <v>89.0</v>
      </c>
      <c r="X170" s="7">
        <v>49.57</v>
      </c>
      <c r="Y170" s="7">
        <v>17042.0</v>
      </c>
      <c r="Z170" s="7">
        <v>2.91</v>
      </c>
      <c r="AA170" s="11">
        <v>0.0</v>
      </c>
      <c r="AB170" s="7"/>
      <c r="AC170" s="10"/>
      <c r="AD170" s="10"/>
    </row>
    <row r="171" ht="15.75" customHeight="1">
      <c r="A171" s="6">
        <v>44731.0</v>
      </c>
      <c r="B171" s="7">
        <f t="shared" si="1"/>
        <v>19</v>
      </c>
      <c r="C171" s="7">
        <f t="shared" si="2"/>
        <v>6</v>
      </c>
      <c r="D171" s="7">
        <v>8376.49</v>
      </c>
      <c r="E171" s="7">
        <v>9524.0</v>
      </c>
      <c r="F171" s="7">
        <v>13325.0</v>
      </c>
      <c r="G171" s="7">
        <v>22849.0</v>
      </c>
      <c r="H171" s="7">
        <v>476.13</v>
      </c>
      <c r="I171" s="7">
        <v>4970.0</v>
      </c>
      <c r="J171" s="7">
        <v>0.096</v>
      </c>
      <c r="K171" s="7">
        <v>3983.0</v>
      </c>
      <c r="L171" s="7">
        <v>4785.77</v>
      </c>
      <c r="M171" s="7">
        <v>6714.0</v>
      </c>
      <c r="N171" s="7">
        <v>0.713</v>
      </c>
      <c r="O171" s="8">
        <v>5222.0</v>
      </c>
      <c r="P171" s="7">
        <v>3065.34</v>
      </c>
      <c r="Q171" s="7">
        <v>2356384.0</v>
      </c>
      <c r="R171" s="7">
        <v>1.3</v>
      </c>
      <c r="S171" s="7">
        <v>4071.0</v>
      </c>
      <c r="T171" s="7">
        <v>0.0</v>
      </c>
      <c r="U171" s="7">
        <v>0.0</v>
      </c>
      <c r="V171" s="7">
        <v>0.0</v>
      </c>
      <c r="W171" s="7">
        <v>94.0</v>
      </c>
      <c r="X171" s="7">
        <v>49.25</v>
      </c>
      <c r="Y171" s="7">
        <v>18404.0</v>
      </c>
      <c r="Z171" s="7">
        <v>2.68</v>
      </c>
      <c r="AA171" s="11">
        <v>0.0</v>
      </c>
      <c r="AB171" s="7"/>
      <c r="AC171" s="10"/>
      <c r="AD171" s="10"/>
    </row>
    <row r="172" ht="15.75" customHeight="1">
      <c r="A172" s="6">
        <v>44732.0</v>
      </c>
      <c r="B172" s="7">
        <f t="shared" si="1"/>
        <v>20</v>
      </c>
      <c r="C172" s="7">
        <f t="shared" si="2"/>
        <v>6</v>
      </c>
      <c r="D172" s="7">
        <v>8138.23</v>
      </c>
      <c r="E172" s="7">
        <v>14664.0</v>
      </c>
      <c r="F172" s="7">
        <v>10046.0</v>
      </c>
      <c r="G172" s="7">
        <v>24710.0</v>
      </c>
      <c r="H172" s="7">
        <v>568.46</v>
      </c>
      <c r="I172" s="7">
        <v>5543.0</v>
      </c>
      <c r="J172" s="7">
        <v>0.103</v>
      </c>
      <c r="K172" s="7">
        <v>3587.0</v>
      </c>
      <c r="L172" s="7">
        <v>4340.66</v>
      </c>
      <c r="M172" s="7">
        <v>5516.0</v>
      </c>
      <c r="N172" s="7">
        <v>0.787</v>
      </c>
      <c r="O172" s="8">
        <v>3863.0</v>
      </c>
      <c r="P172" s="7">
        <v>3181.26</v>
      </c>
      <c r="Q172" s="7">
        <v>2500536.0</v>
      </c>
      <c r="R172" s="7">
        <v>1.27</v>
      </c>
      <c r="S172" s="7">
        <v>2893.0</v>
      </c>
      <c r="T172" s="7">
        <v>0.0</v>
      </c>
      <c r="U172" s="7">
        <v>0.0</v>
      </c>
      <c r="V172" s="7">
        <v>0.0</v>
      </c>
      <c r="W172" s="7">
        <v>79.0</v>
      </c>
      <c r="X172" s="7">
        <v>47.85</v>
      </c>
      <c r="Y172" s="7">
        <v>17707.0</v>
      </c>
      <c r="Z172" s="7">
        <v>2.7</v>
      </c>
      <c r="AA172" s="11">
        <v>0.0</v>
      </c>
      <c r="AB172" s="7"/>
      <c r="AC172" s="10"/>
      <c r="AD172" s="10"/>
    </row>
    <row r="173" ht="15.75" customHeight="1">
      <c r="A173" s="6">
        <v>44733.0</v>
      </c>
      <c r="B173" s="7">
        <f t="shared" si="1"/>
        <v>21</v>
      </c>
      <c r="C173" s="7">
        <f t="shared" si="2"/>
        <v>6</v>
      </c>
      <c r="D173" s="7">
        <v>8552.11</v>
      </c>
      <c r="E173" s="7">
        <v>11884.0</v>
      </c>
      <c r="F173" s="7">
        <v>13072.0</v>
      </c>
      <c r="G173" s="7">
        <v>24956.0</v>
      </c>
      <c r="H173" s="7">
        <v>552.91</v>
      </c>
      <c r="I173" s="7">
        <v>5761.0</v>
      </c>
      <c r="J173" s="7">
        <v>0.096</v>
      </c>
      <c r="K173" s="7">
        <v>4702.0</v>
      </c>
      <c r="L173" s="7">
        <v>4416.64</v>
      </c>
      <c r="M173" s="7">
        <v>5462.0</v>
      </c>
      <c r="N173" s="7">
        <v>0.809</v>
      </c>
      <c r="O173" s="8">
        <v>4396.0</v>
      </c>
      <c r="P173" s="7">
        <v>3542.56</v>
      </c>
      <c r="Q173" s="7">
        <v>2496326.0</v>
      </c>
      <c r="R173" s="7">
        <v>1.42</v>
      </c>
      <c r="S173" s="7">
        <v>3945.0</v>
      </c>
      <c r="T173" s="7">
        <v>0.0</v>
      </c>
      <c r="U173" s="7">
        <v>0.0</v>
      </c>
      <c r="V173" s="7">
        <v>0.0</v>
      </c>
      <c r="W173" s="7">
        <v>80.0</v>
      </c>
      <c r="X173" s="7">
        <v>40.0</v>
      </c>
      <c r="Y173" s="7">
        <v>13012.0</v>
      </c>
      <c r="Z173" s="7">
        <v>3.07</v>
      </c>
      <c r="AA173" s="11">
        <v>0.0</v>
      </c>
      <c r="AB173" s="7"/>
      <c r="AC173" s="10"/>
      <c r="AD173" s="10"/>
    </row>
    <row r="174" ht="15.75" customHeight="1">
      <c r="A174" s="6">
        <v>44734.0</v>
      </c>
      <c r="B174" s="7">
        <f t="shared" si="1"/>
        <v>22</v>
      </c>
      <c r="C174" s="7">
        <f t="shared" si="2"/>
        <v>6</v>
      </c>
      <c r="D174" s="7">
        <v>9168.59</v>
      </c>
      <c r="E174" s="7">
        <v>10899.0</v>
      </c>
      <c r="F174" s="7">
        <v>13146.0</v>
      </c>
      <c r="G174" s="7">
        <v>24045.0</v>
      </c>
      <c r="H174" s="7">
        <v>494.3</v>
      </c>
      <c r="I174" s="7">
        <v>5321.0</v>
      </c>
      <c r="J174" s="7">
        <v>0.093</v>
      </c>
      <c r="K174" s="7">
        <v>4643.0</v>
      </c>
      <c r="L174" s="7">
        <v>4679.77</v>
      </c>
      <c r="M174" s="7">
        <v>5639.0</v>
      </c>
      <c r="N174" s="7">
        <v>0.83</v>
      </c>
      <c r="O174" s="8">
        <v>4536.0</v>
      </c>
      <c r="P174" s="7">
        <v>3954.52</v>
      </c>
      <c r="Q174" s="7">
        <v>2523391.0</v>
      </c>
      <c r="R174" s="7">
        <v>1.57</v>
      </c>
      <c r="S174" s="7">
        <v>4202.0</v>
      </c>
      <c r="T174" s="7">
        <v>0.0</v>
      </c>
      <c r="U174" s="7">
        <v>0.0</v>
      </c>
      <c r="V174" s="7">
        <v>0.0</v>
      </c>
      <c r="W174" s="7">
        <v>98.0</v>
      </c>
      <c r="X174" s="7">
        <v>40.0</v>
      </c>
      <c r="Y174" s="7">
        <v>12958.0</v>
      </c>
      <c r="Z174" s="7">
        <v>3.09</v>
      </c>
      <c r="AA174" s="11">
        <v>0.0</v>
      </c>
      <c r="AB174" s="7"/>
      <c r="AC174" s="10"/>
      <c r="AD174" s="10"/>
    </row>
    <row r="175" ht="15.75" customHeight="1">
      <c r="A175" s="6">
        <v>44735.0</v>
      </c>
      <c r="B175" s="7">
        <f t="shared" si="1"/>
        <v>23</v>
      </c>
      <c r="C175" s="7">
        <f t="shared" si="2"/>
        <v>6</v>
      </c>
      <c r="D175" s="7">
        <v>8923.44</v>
      </c>
      <c r="E175" s="7">
        <v>11015.0</v>
      </c>
      <c r="F175" s="7">
        <v>11957.0</v>
      </c>
      <c r="G175" s="7">
        <v>22972.0</v>
      </c>
      <c r="H175" s="7">
        <v>532.6</v>
      </c>
      <c r="I175" s="7">
        <v>5031.0</v>
      </c>
      <c r="J175" s="7">
        <v>0.106</v>
      </c>
      <c r="K175" s="7">
        <v>4214.0</v>
      </c>
      <c r="L175" s="7">
        <v>4557.15</v>
      </c>
      <c r="M175" s="7">
        <v>5191.0</v>
      </c>
      <c r="N175" s="7">
        <v>0.878</v>
      </c>
      <c r="O175" s="8">
        <v>4253.0</v>
      </c>
      <c r="P175" s="7">
        <v>3795.39</v>
      </c>
      <c r="Q175" s="7">
        <v>2327385.0</v>
      </c>
      <c r="R175" s="7">
        <v>1.63</v>
      </c>
      <c r="S175" s="7">
        <v>3691.0</v>
      </c>
      <c r="T175" s="7">
        <v>0.0</v>
      </c>
      <c r="U175" s="7">
        <v>0.0</v>
      </c>
      <c r="V175" s="7">
        <v>0.0</v>
      </c>
      <c r="W175" s="7">
        <v>85.0</v>
      </c>
      <c r="X175" s="7">
        <v>38.3</v>
      </c>
      <c r="Y175" s="7">
        <v>13258.0</v>
      </c>
      <c r="Z175" s="7">
        <v>2.89</v>
      </c>
      <c r="AA175" s="11">
        <v>0.0</v>
      </c>
      <c r="AB175" s="7"/>
      <c r="AC175" s="10"/>
      <c r="AD175" s="10"/>
    </row>
    <row r="176" ht="15.75" customHeight="1">
      <c r="A176" s="6">
        <v>44736.0</v>
      </c>
      <c r="B176" s="7">
        <f t="shared" si="1"/>
        <v>24</v>
      </c>
      <c r="C176" s="7">
        <f t="shared" si="2"/>
        <v>6</v>
      </c>
      <c r="D176" s="7">
        <v>8140.07</v>
      </c>
      <c r="E176" s="7">
        <v>10300.0</v>
      </c>
      <c r="F176" s="7">
        <v>11585.0</v>
      </c>
      <c r="G176" s="7">
        <v>21885.0</v>
      </c>
      <c r="H176" s="7">
        <v>525.28</v>
      </c>
      <c r="I176" s="7">
        <v>4747.0</v>
      </c>
      <c r="J176" s="7">
        <v>0.111</v>
      </c>
      <c r="K176" s="7">
        <v>4099.0</v>
      </c>
      <c r="L176" s="7">
        <v>3928.66</v>
      </c>
      <c r="M176" s="7">
        <v>4659.0</v>
      </c>
      <c r="N176" s="7">
        <v>0.843</v>
      </c>
      <c r="O176" s="8">
        <v>3939.0</v>
      </c>
      <c r="P176" s="7">
        <v>3648.33</v>
      </c>
      <c r="Q176" s="7">
        <v>2360859.0</v>
      </c>
      <c r="R176" s="7">
        <v>1.55</v>
      </c>
      <c r="S176" s="7">
        <v>3654.0</v>
      </c>
      <c r="T176" s="7">
        <v>0.0</v>
      </c>
      <c r="U176" s="7">
        <v>0.0</v>
      </c>
      <c r="V176" s="7">
        <v>0.0</v>
      </c>
      <c r="W176" s="7">
        <v>63.0</v>
      </c>
      <c r="X176" s="7">
        <v>37.8</v>
      </c>
      <c r="Y176" s="7">
        <v>14834.0</v>
      </c>
      <c r="Z176" s="7">
        <v>2.55</v>
      </c>
      <c r="AA176" s="11">
        <v>0.0</v>
      </c>
      <c r="AB176" s="7"/>
      <c r="AC176" s="10"/>
      <c r="AD176" s="10"/>
    </row>
    <row r="177" ht="15.75" customHeight="1">
      <c r="A177" s="6">
        <v>44737.0</v>
      </c>
      <c r="B177" s="7">
        <f t="shared" si="1"/>
        <v>25</v>
      </c>
      <c r="C177" s="7">
        <f t="shared" si="2"/>
        <v>6</v>
      </c>
      <c r="D177" s="7">
        <v>7734.42</v>
      </c>
      <c r="E177" s="7">
        <v>8952.0</v>
      </c>
      <c r="F177" s="7">
        <v>11830.0</v>
      </c>
      <c r="G177" s="7">
        <v>20782.0</v>
      </c>
      <c r="H177" s="7">
        <v>427.61</v>
      </c>
      <c r="I177" s="7">
        <v>4467.0</v>
      </c>
      <c r="J177" s="7">
        <v>0.096</v>
      </c>
      <c r="K177" s="7">
        <v>3611.0</v>
      </c>
      <c r="L177" s="7">
        <v>3640.06</v>
      </c>
      <c r="M177" s="7">
        <v>4896.0</v>
      </c>
      <c r="N177" s="7">
        <v>0.743</v>
      </c>
      <c r="O177" s="8">
        <v>4040.0</v>
      </c>
      <c r="P177" s="7">
        <v>3629.41</v>
      </c>
      <c r="Q177" s="7">
        <v>2399633.0</v>
      </c>
      <c r="R177" s="7">
        <v>1.51</v>
      </c>
      <c r="S177" s="7">
        <v>4088.0</v>
      </c>
      <c r="T177" s="7">
        <v>0.0</v>
      </c>
      <c r="U177" s="7">
        <v>0.0</v>
      </c>
      <c r="V177" s="7">
        <v>0.0</v>
      </c>
      <c r="W177" s="7">
        <v>46.0</v>
      </c>
      <c r="X177" s="7">
        <v>37.34</v>
      </c>
      <c r="Y177" s="7">
        <v>11732.0</v>
      </c>
      <c r="Z177" s="7">
        <v>3.18</v>
      </c>
      <c r="AA177" s="11">
        <v>0.0</v>
      </c>
      <c r="AB177" s="7"/>
      <c r="AC177" s="10"/>
      <c r="AD177" s="10"/>
    </row>
    <row r="178" ht="15.75" customHeight="1">
      <c r="A178" s="6">
        <v>44738.0</v>
      </c>
      <c r="B178" s="7">
        <f t="shared" si="1"/>
        <v>26</v>
      </c>
      <c r="C178" s="7">
        <f t="shared" si="2"/>
        <v>6</v>
      </c>
      <c r="D178" s="7">
        <v>9299.36</v>
      </c>
      <c r="E178" s="7">
        <v>10181.0</v>
      </c>
      <c r="F178" s="7">
        <v>14077.0</v>
      </c>
      <c r="G178" s="7">
        <v>24258.0</v>
      </c>
      <c r="H178" s="7">
        <v>538.0</v>
      </c>
      <c r="I178" s="7">
        <v>5429.0</v>
      </c>
      <c r="J178" s="7">
        <v>0.099</v>
      </c>
      <c r="K178" s="7">
        <v>4441.0</v>
      </c>
      <c r="L178" s="7">
        <v>4636.47</v>
      </c>
      <c r="M178" s="7">
        <v>6228.0</v>
      </c>
      <c r="N178" s="7">
        <v>0.744</v>
      </c>
      <c r="O178" s="8">
        <v>5017.0</v>
      </c>
      <c r="P178" s="7">
        <v>4086.64</v>
      </c>
      <c r="Q178" s="7">
        <v>2888050.0</v>
      </c>
      <c r="R178" s="7">
        <v>1.42</v>
      </c>
      <c r="S178" s="7">
        <v>4764.0</v>
      </c>
      <c r="T178" s="7">
        <v>0.0</v>
      </c>
      <c r="U178" s="7">
        <v>0.0</v>
      </c>
      <c r="V178" s="7">
        <v>0.0</v>
      </c>
      <c r="W178" s="7">
        <v>51.0</v>
      </c>
      <c r="X178" s="7">
        <v>38.25</v>
      </c>
      <c r="Y178" s="7">
        <v>11544.0</v>
      </c>
      <c r="Z178" s="7">
        <v>3.31</v>
      </c>
      <c r="AA178" s="11">
        <v>0.0</v>
      </c>
      <c r="AB178" s="7"/>
      <c r="AC178" s="10"/>
      <c r="AD178" s="10"/>
    </row>
    <row r="179" ht="15.75" customHeight="1">
      <c r="A179" s="6">
        <v>44739.0</v>
      </c>
      <c r="B179" s="7">
        <f t="shared" si="1"/>
        <v>27</v>
      </c>
      <c r="C179" s="7">
        <f t="shared" si="2"/>
        <v>6</v>
      </c>
      <c r="D179" s="7">
        <v>8254.58</v>
      </c>
      <c r="E179" s="7">
        <v>13092.0</v>
      </c>
      <c r="F179" s="7">
        <v>12721.0</v>
      </c>
      <c r="G179" s="7">
        <v>25813.0</v>
      </c>
      <c r="H179" s="7">
        <v>685.49</v>
      </c>
      <c r="I179" s="7">
        <v>6089.0</v>
      </c>
      <c r="J179" s="7">
        <v>0.113</v>
      </c>
      <c r="K179" s="7">
        <v>5259.0</v>
      </c>
      <c r="L179" s="7">
        <v>3960.33</v>
      </c>
      <c r="M179" s="7">
        <v>4799.0</v>
      </c>
      <c r="N179" s="7">
        <v>0.825</v>
      </c>
      <c r="O179" s="8">
        <v>4221.0</v>
      </c>
      <c r="P179" s="7">
        <v>3571.27</v>
      </c>
      <c r="Q179" s="7">
        <v>2307135.0</v>
      </c>
      <c r="R179" s="7">
        <v>1.55</v>
      </c>
      <c r="S179" s="7">
        <v>3544.0</v>
      </c>
      <c r="T179" s="7">
        <v>0.0</v>
      </c>
      <c r="U179" s="7">
        <v>0.0</v>
      </c>
      <c r="V179" s="7">
        <v>0.0</v>
      </c>
      <c r="W179" s="7">
        <v>78.0</v>
      </c>
      <c r="X179" s="7">
        <v>37.49</v>
      </c>
      <c r="Y179" s="7">
        <v>12760.0</v>
      </c>
      <c r="Z179" s="7">
        <v>2.94</v>
      </c>
      <c r="AA179" s="11">
        <v>0.0</v>
      </c>
      <c r="AB179" s="7"/>
      <c r="AC179" s="10"/>
      <c r="AD179" s="10"/>
    </row>
    <row r="180" ht="15.75" customHeight="1">
      <c r="A180" s="6">
        <v>44740.0</v>
      </c>
      <c r="B180" s="7">
        <f t="shared" si="1"/>
        <v>28</v>
      </c>
      <c r="C180" s="7">
        <f t="shared" si="2"/>
        <v>6</v>
      </c>
      <c r="D180" s="7">
        <v>7833.49</v>
      </c>
      <c r="E180" s="7">
        <v>12972.0</v>
      </c>
      <c r="F180" s="7">
        <v>11245.0</v>
      </c>
      <c r="G180" s="7">
        <v>24217.0</v>
      </c>
      <c r="H180" s="7">
        <v>627.59</v>
      </c>
      <c r="I180" s="7">
        <v>6008.0</v>
      </c>
      <c r="J180" s="7">
        <v>0.104</v>
      </c>
      <c r="K180" s="7">
        <v>4468.0</v>
      </c>
      <c r="L180" s="7">
        <v>4013.76</v>
      </c>
      <c r="M180" s="7">
        <v>5077.0</v>
      </c>
      <c r="N180" s="7">
        <v>0.791</v>
      </c>
      <c r="O180" s="8">
        <v>3871.0</v>
      </c>
      <c r="P180" s="7">
        <v>3154.82</v>
      </c>
      <c r="Q180" s="7">
        <v>1804997.0</v>
      </c>
      <c r="R180" s="7">
        <v>1.75</v>
      </c>
      <c r="S180" s="7">
        <v>3080.0</v>
      </c>
      <c r="T180" s="7">
        <v>0.0</v>
      </c>
      <c r="U180" s="7">
        <v>0.0</v>
      </c>
      <c r="V180" s="7">
        <v>0.0</v>
      </c>
      <c r="W180" s="7">
        <v>78.0</v>
      </c>
      <c r="X180" s="7">
        <v>37.32</v>
      </c>
      <c r="Y180" s="7">
        <v>10905.0</v>
      </c>
      <c r="Z180" s="7">
        <v>3.42</v>
      </c>
      <c r="AA180" s="11">
        <v>0.0</v>
      </c>
      <c r="AB180" s="7"/>
      <c r="AC180" s="10"/>
      <c r="AD180" s="10"/>
    </row>
    <row r="181" ht="15.75" customHeight="1">
      <c r="A181" s="6">
        <v>44741.0</v>
      </c>
      <c r="B181" s="7">
        <f t="shared" si="1"/>
        <v>29</v>
      </c>
      <c r="C181" s="7">
        <f t="shared" si="2"/>
        <v>6</v>
      </c>
      <c r="D181" s="7">
        <v>7376.34</v>
      </c>
      <c r="E181" s="7">
        <v>11125.0</v>
      </c>
      <c r="F181" s="7">
        <v>12037.0</v>
      </c>
      <c r="G181" s="7">
        <v>23162.0</v>
      </c>
      <c r="H181" s="7">
        <v>595.03</v>
      </c>
      <c r="I181" s="7">
        <v>5735.0</v>
      </c>
      <c r="J181" s="7">
        <v>0.104</v>
      </c>
      <c r="K181" s="7">
        <v>4865.0</v>
      </c>
      <c r="L181" s="7">
        <v>3877.47</v>
      </c>
      <c r="M181" s="7">
        <v>4934.0</v>
      </c>
      <c r="N181" s="7">
        <v>0.786</v>
      </c>
      <c r="O181" s="8">
        <v>3993.0</v>
      </c>
      <c r="P181" s="7">
        <v>2863.9</v>
      </c>
      <c r="Q181" s="7">
        <v>1686411.0</v>
      </c>
      <c r="R181" s="7">
        <v>1.7</v>
      </c>
      <c r="S181" s="7">
        <v>3280.0</v>
      </c>
      <c r="T181" s="7">
        <v>0.0</v>
      </c>
      <c r="U181" s="7">
        <v>0.0</v>
      </c>
      <c r="V181" s="7">
        <v>0.0</v>
      </c>
      <c r="W181" s="7">
        <v>83.0</v>
      </c>
      <c r="X181" s="7">
        <v>39.94</v>
      </c>
      <c r="Y181" s="7">
        <v>11106.0</v>
      </c>
      <c r="Z181" s="7">
        <v>3.6</v>
      </c>
      <c r="AA181" s="11">
        <v>0.0</v>
      </c>
      <c r="AB181" s="7"/>
      <c r="AC181" s="10"/>
      <c r="AD181" s="10"/>
    </row>
    <row r="182" ht="15.75" customHeight="1">
      <c r="A182" s="6">
        <v>44742.0</v>
      </c>
      <c r="B182" s="7">
        <f t="shared" si="1"/>
        <v>30</v>
      </c>
      <c r="C182" s="7">
        <f t="shared" si="2"/>
        <v>6</v>
      </c>
      <c r="D182" s="7">
        <v>7293.54</v>
      </c>
      <c r="E182" s="7">
        <v>11476.0</v>
      </c>
      <c r="F182" s="7">
        <v>12497.0</v>
      </c>
      <c r="G182" s="7">
        <v>23973.0</v>
      </c>
      <c r="H182" s="7">
        <v>561.32</v>
      </c>
      <c r="I182" s="7">
        <v>5661.0</v>
      </c>
      <c r="J182" s="7">
        <v>0.099</v>
      </c>
      <c r="K182" s="7">
        <v>4834.0</v>
      </c>
      <c r="L182" s="7">
        <v>3639.49</v>
      </c>
      <c r="M182" s="7">
        <v>4839.0</v>
      </c>
      <c r="N182" s="7">
        <v>0.752</v>
      </c>
      <c r="O182" s="8">
        <v>3971.0</v>
      </c>
      <c r="P182" s="7">
        <v>3052.85</v>
      </c>
      <c r="Q182" s="7">
        <v>2012793.0</v>
      </c>
      <c r="R182" s="7">
        <v>1.52</v>
      </c>
      <c r="S182" s="7">
        <v>3855.0</v>
      </c>
      <c r="T182" s="7">
        <v>0.0</v>
      </c>
      <c r="U182" s="7">
        <v>0.0</v>
      </c>
      <c r="V182" s="7">
        <v>0.0</v>
      </c>
      <c r="W182" s="7">
        <v>67.0</v>
      </c>
      <c r="X182" s="7">
        <v>39.88</v>
      </c>
      <c r="Y182" s="7">
        <v>9277.0</v>
      </c>
      <c r="Z182" s="7">
        <v>4.3</v>
      </c>
      <c r="AA182" s="11">
        <v>0.0</v>
      </c>
      <c r="AB182" s="7"/>
      <c r="AC182" s="10"/>
      <c r="AD182" s="10"/>
    </row>
    <row r="183" ht="15.75" customHeight="1">
      <c r="A183" s="6">
        <v>44743.0</v>
      </c>
      <c r="B183" s="7">
        <f t="shared" si="1"/>
        <v>1</v>
      </c>
      <c r="C183" s="7">
        <f t="shared" si="2"/>
        <v>7</v>
      </c>
      <c r="D183" s="7">
        <v>6689.2</v>
      </c>
      <c r="E183" s="7">
        <v>11765.0</v>
      </c>
      <c r="F183" s="7">
        <v>10658.0</v>
      </c>
      <c r="G183" s="7">
        <v>22423.0</v>
      </c>
      <c r="H183" s="7">
        <v>484.05</v>
      </c>
      <c r="I183" s="7">
        <v>5330.0</v>
      </c>
      <c r="J183" s="7">
        <v>0.091</v>
      </c>
      <c r="K183" s="7">
        <v>3900.0</v>
      </c>
      <c r="L183" s="7">
        <v>3120.74</v>
      </c>
      <c r="M183" s="7">
        <v>4314.0</v>
      </c>
      <c r="N183" s="7">
        <v>0.723</v>
      </c>
      <c r="O183" s="8">
        <v>3292.0</v>
      </c>
      <c r="P183" s="7">
        <v>3044.43</v>
      </c>
      <c r="Q183" s="7">
        <v>2287530.0</v>
      </c>
      <c r="R183" s="7">
        <v>1.33</v>
      </c>
      <c r="S183" s="7">
        <v>3621.0</v>
      </c>
      <c r="T183" s="7">
        <v>0.0</v>
      </c>
      <c r="U183" s="7">
        <v>0.0</v>
      </c>
      <c r="V183" s="7">
        <v>0.0</v>
      </c>
      <c r="W183" s="7">
        <v>55.0</v>
      </c>
      <c r="X183" s="7">
        <v>39.98</v>
      </c>
      <c r="Y183" s="7">
        <v>10474.0</v>
      </c>
      <c r="Z183" s="7">
        <v>3.82</v>
      </c>
      <c r="AA183" s="11">
        <v>0.0</v>
      </c>
      <c r="AB183" s="7"/>
      <c r="AC183" s="10"/>
      <c r="AD183" s="10"/>
    </row>
    <row r="184" ht="15.75" customHeight="1">
      <c r="A184" s="6">
        <v>44744.0</v>
      </c>
      <c r="B184" s="7">
        <f t="shared" si="1"/>
        <v>2</v>
      </c>
      <c r="C184" s="7">
        <f t="shared" si="2"/>
        <v>7</v>
      </c>
      <c r="D184" s="7">
        <v>6941.26</v>
      </c>
      <c r="E184" s="7">
        <v>11804.0</v>
      </c>
      <c r="F184" s="7">
        <v>9177.0</v>
      </c>
      <c r="G184" s="7">
        <v>20981.0</v>
      </c>
      <c r="H184" s="7">
        <v>432.33</v>
      </c>
      <c r="I184" s="7">
        <v>4775.0</v>
      </c>
      <c r="J184" s="7">
        <v>0.091</v>
      </c>
      <c r="K184" s="7">
        <v>3087.0</v>
      </c>
      <c r="L184" s="7">
        <v>3306.49</v>
      </c>
      <c r="M184" s="7">
        <v>4757.0</v>
      </c>
      <c r="N184" s="7">
        <v>0.695</v>
      </c>
      <c r="O184" s="8">
        <v>2893.0</v>
      </c>
      <c r="P184" s="7">
        <v>3162.72</v>
      </c>
      <c r="Q184" s="7">
        <v>2403155.0</v>
      </c>
      <c r="R184" s="7">
        <v>1.32</v>
      </c>
      <c r="S184" s="7">
        <v>3380.0</v>
      </c>
      <c r="T184" s="7">
        <v>0.0</v>
      </c>
      <c r="U184" s="7">
        <v>0.0</v>
      </c>
      <c r="V184" s="7">
        <v>0.0</v>
      </c>
      <c r="W184" s="7">
        <v>51.0</v>
      </c>
      <c r="X184" s="7">
        <v>39.72</v>
      </c>
      <c r="Y184" s="7">
        <v>11010.0</v>
      </c>
      <c r="Z184" s="7">
        <v>3.61</v>
      </c>
      <c r="AA184" s="11">
        <v>0.0</v>
      </c>
      <c r="AB184" s="7"/>
      <c r="AC184" s="10"/>
      <c r="AD184" s="10"/>
    </row>
    <row r="185" ht="15.75" customHeight="1">
      <c r="A185" s="6">
        <v>44745.0</v>
      </c>
      <c r="B185" s="7">
        <f t="shared" si="1"/>
        <v>3</v>
      </c>
      <c r="C185" s="7">
        <f t="shared" si="2"/>
        <v>7</v>
      </c>
      <c r="D185" s="7">
        <v>7935.37</v>
      </c>
      <c r="E185" s="7">
        <v>10428.0</v>
      </c>
      <c r="F185" s="7">
        <v>13218.0</v>
      </c>
      <c r="G185" s="7">
        <v>23646.0</v>
      </c>
      <c r="H185" s="7">
        <v>450.06</v>
      </c>
      <c r="I185" s="7">
        <v>5492.0</v>
      </c>
      <c r="J185" s="7">
        <v>0.082</v>
      </c>
      <c r="K185" s="7">
        <v>4363.0</v>
      </c>
      <c r="L185" s="7">
        <v>4022.6</v>
      </c>
      <c r="M185" s="7">
        <v>5662.0</v>
      </c>
      <c r="N185" s="7">
        <v>0.71</v>
      </c>
      <c r="O185" s="8">
        <v>4496.0</v>
      </c>
      <c r="P185" s="7">
        <v>3423.64</v>
      </c>
      <c r="Q185" s="7">
        <v>2694315.0</v>
      </c>
      <c r="R185" s="7">
        <v>1.27</v>
      </c>
      <c r="S185" s="7">
        <v>4618.0</v>
      </c>
      <c r="T185" s="7">
        <v>0.0</v>
      </c>
      <c r="U185" s="7">
        <v>0.0</v>
      </c>
      <c r="V185" s="7">
        <v>0.0</v>
      </c>
      <c r="W185" s="7">
        <v>76.0</v>
      </c>
      <c r="X185" s="7">
        <v>39.07</v>
      </c>
      <c r="Y185" s="7">
        <v>12234.0</v>
      </c>
      <c r="Z185" s="7">
        <v>3.19</v>
      </c>
      <c r="AA185" s="11">
        <v>0.0</v>
      </c>
      <c r="AB185" s="7"/>
      <c r="AC185" s="10"/>
      <c r="AD185" s="10"/>
    </row>
    <row r="186" ht="15.75" customHeight="1">
      <c r="A186" s="6">
        <v>44746.0</v>
      </c>
      <c r="B186" s="7">
        <f t="shared" si="1"/>
        <v>4</v>
      </c>
      <c r="C186" s="7">
        <f t="shared" si="2"/>
        <v>7</v>
      </c>
      <c r="D186" s="7">
        <v>7145.52</v>
      </c>
      <c r="E186" s="7">
        <v>13170.0</v>
      </c>
      <c r="F186" s="7">
        <v>11027.0</v>
      </c>
      <c r="G186" s="7">
        <v>24197.0</v>
      </c>
      <c r="H186" s="7">
        <v>503.87</v>
      </c>
      <c r="I186" s="7">
        <v>5381.0</v>
      </c>
      <c r="J186" s="7">
        <v>0.094</v>
      </c>
      <c r="K186" s="7">
        <v>4065.0</v>
      </c>
      <c r="L186" s="7">
        <v>3428.0</v>
      </c>
      <c r="M186" s="7">
        <v>4450.0</v>
      </c>
      <c r="N186" s="7">
        <v>0.77</v>
      </c>
      <c r="O186" s="8">
        <v>3348.0</v>
      </c>
      <c r="P186" s="7">
        <v>3174.25</v>
      </c>
      <c r="Q186" s="7">
        <v>2318402.0</v>
      </c>
      <c r="R186" s="7">
        <v>1.37</v>
      </c>
      <c r="S186" s="7">
        <v>3480.0</v>
      </c>
      <c r="T186" s="7">
        <v>0.0</v>
      </c>
      <c r="U186" s="7">
        <v>0.0</v>
      </c>
      <c r="V186" s="7">
        <v>0.0</v>
      </c>
      <c r="W186" s="7">
        <v>78.0</v>
      </c>
      <c r="X186" s="7">
        <v>39.4</v>
      </c>
      <c r="Y186" s="7">
        <v>14269.0</v>
      </c>
      <c r="Z186" s="7">
        <v>2.76</v>
      </c>
      <c r="AA186" s="11">
        <v>0.0</v>
      </c>
      <c r="AB186" s="7"/>
      <c r="AC186" s="10"/>
      <c r="AD186" s="10"/>
    </row>
    <row r="187" ht="15.75" customHeight="1">
      <c r="A187" s="6">
        <v>44747.0</v>
      </c>
      <c r="B187" s="7">
        <f t="shared" si="1"/>
        <v>5</v>
      </c>
      <c r="C187" s="7">
        <f t="shared" si="2"/>
        <v>7</v>
      </c>
      <c r="D187" s="7">
        <v>6643.98</v>
      </c>
      <c r="E187" s="7">
        <v>12084.0</v>
      </c>
      <c r="F187" s="7">
        <v>11759.0</v>
      </c>
      <c r="G187" s="7">
        <v>23843.0</v>
      </c>
      <c r="H187" s="7">
        <v>548.79</v>
      </c>
      <c r="I187" s="7">
        <v>5278.0</v>
      </c>
      <c r="J187" s="7">
        <v>0.104</v>
      </c>
      <c r="K187" s="7">
        <v>4299.0</v>
      </c>
      <c r="L187" s="7">
        <v>3034.63</v>
      </c>
      <c r="M187" s="7">
        <v>4074.0</v>
      </c>
      <c r="N187" s="7">
        <v>0.745</v>
      </c>
      <c r="O187" s="8">
        <v>3303.0</v>
      </c>
      <c r="P187" s="7">
        <v>2971.57</v>
      </c>
      <c r="Q187" s="7">
        <v>2048422.0</v>
      </c>
      <c r="R187" s="7">
        <v>1.45</v>
      </c>
      <c r="S187" s="7">
        <v>4113.0</v>
      </c>
      <c r="T187" s="7">
        <v>0.0</v>
      </c>
      <c r="U187" s="7">
        <v>0.0</v>
      </c>
      <c r="V187" s="7">
        <v>0.0</v>
      </c>
      <c r="W187" s="7">
        <v>87.0</v>
      </c>
      <c r="X187" s="7">
        <v>88.99</v>
      </c>
      <c r="Y187" s="7">
        <v>46344.0</v>
      </c>
      <c r="Z187" s="7">
        <v>1.92</v>
      </c>
      <c r="AA187" s="11">
        <v>237.0</v>
      </c>
      <c r="AB187" s="7"/>
      <c r="AC187" s="10"/>
      <c r="AD187" s="10"/>
    </row>
    <row r="188" ht="15.75" customHeight="1">
      <c r="A188" s="6">
        <v>44748.0</v>
      </c>
      <c r="B188" s="7">
        <f t="shared" si="1"/>
        <v>6</v>
      </c>
      <c r="C188" s="7">
        <f t="shared" si="2"/>
        <v>7</v>
      </c>
      <c r="D188" s="7">
        <v>6165.43</v>
      </c>
      <c r="E188" s="7">
        <v>11010.0</v>
      </c>
      <c r="F188" s="7">
        <v>11844.0</v>
      </c>
      <c r="G188" s="7">
        <v>22854.0</v>
      </c>
      <c r="H188" s="7">
        <v>548.67</v>
      </c>
      <c r="I188" s="7">
        <v>4955.0</v>
      </c>
      <c r="J188" s="7">
        <v>0.111</v>
      </c>
      <c r="K188" s="7">
        <v>4340.0</v>
      </c>
      <c r="L188" s="7">
        <v>2751.53</v>
      </c>
      <c r="M188" s="7">
        <v>3654.0</v>
      </c>
      <c r="N188" s="7">
        <v>0.753</v>
      </c>
      <c r="O188" s="8">
        <v>3208.0</v>
      </c>
      <c r="P188" s="7">
        <v>2776.01</v>
      </c>
      <c r="Q188" s="7">
        <v>1921472.0</v>
      </c>
      <c r="R188" s="7">
        <v>1.44</v>
      </c>
      <c r="S188" s="7">
        <v>4093.0</v>
      </c>
      <c r="T188" s="7">
        <v>0.0</v>
      </c>
      <c r="U188" s="7">
        <v>0.0</v>
      </c>
      <c r="V188" s="7">
        <v>0.0</v>
      </c>
      <c r="W188" s="7">
        <v>72.0</v>
      </c>
      <c r="X188" s="7">
        <v>89.22</v>
      </c>
      <c r="Y188" s="7">
        <v>47910.0</v>
      </c>
      <c r="Z188" s="7">
        <v>1.86</v>
      </c>
      <c r="AA188" s="11">
        <v>232.0</v>
      </c>
      <c r="AB188" s="7"/>
      <c r="AC188" s="10"/>
      <c r="AD188" s="10"/>
    </row>
    <row r="189" ht="15.75" customHeight="1">
      <c r="A189" s="6">
        <v>44749.0</v>
      </c>
      <c r="B189" s="7">
        <f t="shared" si="1"/>
        <v>7</v>
      </c>
      <c r="C189" s="7">
        <f t="shared" si="2"/>
        <v>7</v>
      </c>
      <c r="D189" s="7">
        <v>6147.2</v>
      </c>
      <c r="E189" s="7">
        <v>10400.0</v>
      </c>
      <c r="F189" s="7">
        <v>10648.0</v>
      </c>
      <c r="G189" s="7">
        <v>21048.0</v>
      </c>
      <c r="H189" s="7">
        <v>450.05</v>
      </c>
      <c r="I189" s="7">
        <v>4828.0</v>
      </c>
      <c r="J189" s="7">
        <v>0.093</v>
      </c>
      <c r="K189" s="7">
        <v>4139.0</v>
      </c>
      <c r="L189" s="7">
        <v>2854.48</v>
      </c>
      <c r="M189" s="7">
        <v>3653.0</v>
      </c>
      <c r="N189" s="7">
        <v>0.781</v>
      </c>
      <c r="O189" s="8">
        <v>3033.0</v>
      </c>
      <c r="P189" s="7">
        <v>2753.72</v>
      </c>
      <c r="Q189" s="7">
        <v>1748950.0</v>
      </c>
      <c r="R189" s="7">
        <v>1.57</v>
      </c>
      <c r="S189" s="7">
        <v>3332.0</v>
      </c>
      <c r="T189" s="7">
        <v>0.0</v>
      </c>
      <c r="U189" s="7">
        <v>0.0</v>
      </c>
      <c r="V189" s="7">
        <v>0.0</v>
      </c>
      <c r="W189" s="7">
        <v>77.0</v>
      </c>
      <c r="X189" s="7">
        <v>88.95</v>
      </c>
      <c r="Y189" s="7">
        <v>47497.0</v>
      </c>
      <c r="Z189" s="7">
        <v>1.87</v>
      </c>
      <c r="AA189" s="11">
        <v>211.0</v>
      </c>
      <c r="AB189" s="7"/>
      <c r="AC189" s="10"/>
      <c r="AD189" s="10"/>
    </row>
    <row r="190" ht="15.75" customHeight="1">
      <c r="A190" s="6">
        <v>44750.0</v>
      </c>
      <c r="B190" s="7">
        <f t="shared" si="1"/>
        <v>8</v>
      </c>
      <c r="C190" s="7">
        <f t="shared" si="2"/>
        <v>7</v>
      </c>
      <c r="D190" s="7">
        <v>5863.44</v>
      </c>
      <c r="E190" s="7">
        <v>10092.0</v>
      </c>
      <c r="F190" s="7">
        <v>10715.0</v>
      </c>
      <c r="G190" s="7">
        <v>20807.0</v>
      </c>
      <c r="H190" s="7">
        <v>470.63</v>
      </c>
      <c r="I190" s="7">
        <v>4671.0</v>
      </c>
      <c r="J190" s="7">
        <v>0.101</v>
      </c>
      <c r="K190" s="7">
        <v>4017.0</v>
      </c>
      <c r="L190" s="7">
        <v>2408.45</v>
      </c>
      <c r="M190" s="7">
        <v>3245.0</v>
      </c>
      <c r="N190" s="7">
        <v>0.742</v>
      </c>
      <c r="O190" s="8">
        <v>2778.0</v>
      </c>
      <c r="P190" s="7">
        <v>2895.35</v>
      </c>
      <c r="Q190" s="7">
        <v>2034950.0</v>
      </c>
      <c r="R190" s="7">
        <v>1.42</v>
      </c>
      <c r="S190" s="7">
        <v>3781.0</v>
      </c>
      <c r="T190" s="7">
        <v>0.0</v>
      </c>
      <c r="U190" s="7">
        <v>0.0</v>
      </c>
      <c r="V190" s="7">
        <v>0.0</v>
      </c>
      <c r="W190" s="7">
        <v>54.0</v>
      </c>
      <c r="X190" s="7">
        <v>89.01</v>
      </c>
      <c r="Y190" s="7">
        <v>57187.0</v>
      </c>
      <c r="Z190" s="7">
        <v>1.56</v>
      </c>
      <c r="AA190" s="11">
        <v>217.0</v>
      </c>
      <c r="AB190" s="7"/>
      <c r="AC190" s="10"/>
      <c r="AD190" s="10"/>
    </row>
    <row r="191" ht="15.75" customHeight="1">
      <c r="A191" s="6">
        <v>44751.0</v>
      </c>
      <c r="B191" s="7">
        <f t="shared" si="1"/>
        <v>9</v>
      </c>
      <c r="C191" s="7">
        <f t="shared" si="2"/>
        <v>7</v>
      </c>
      <c r="D191" s="7">
        <v>6127.29</v>
      </c>
      <c r="E191" s="7">
        <v>8758.0</v>
      </c>
      <c r="F191" s="7">
        <v>10924.0</v>
      </c>
      <c r="G191" s="7">
        <v>19682.0</v>
      </c>
      <c r="H191" s="7">
        <v>480.93</v>
      </c>
      <c r="I191" s="7">
        <v>4268.0</v>
      </c>
      <c r="J191" s="7">
        <v>0.113</v>
      </c>
      <c r="K191" s="7">
        <v>3578.0</v>
      </c>
      <c r="L191" s="7">
        <v>2539.56</v>
      </c>
      <c r="M191" s="7">
        <v>3592.0</v>
      </c>
      <c r="N191" s="7">
        <v>0.707</v>
      </c>
      <c r="O191" s="8">
        <v>2796.0</v>
      </c>
      <c r="P191" s="7">
        <v>3017.75</v>
      </c>
      <c r="Q191" s="7">
        <v>2223093.0</v>
      </c>
      <c r="R191" s="7">
        <v>1.36</v>
      </c>
      <c r="S191" s="7">
        <v>4318.0</v>
      </c>
      <c r="T191" s="7">
        <v>0.0</v>
      </c>
      <c r="U191" s="7">
        <v>0.0</v>
      </c>
      <c r="V191" s="7">
        <v>0.0</v>
      </c>
      <c r="W191" s="7">
        <v>70.0</v>
      </c>
      <c r="X191" s="7">
        <v>89.05</v>
      </c>
      <c r="Y191" s="7">
        <v>59197.0</v>
      </c>
      <c r="Z191" s="7">
        <v>1.5</v>
      </c>
      <c r="AA191" s="11">
        <v>217.0</v>
      </c>
      <c r="AB191" s="7"/>
      <c r="AC191" s="10"/>
      <c r="AD191" s="10"/>
    </row>
    <row r="192" ht="15.75" customHeight="1">
      <c r="A192" s="6">
        <v>44752.0</v>
      </c>
      <c r="B192" s="7">
        <f t="shared" si="1"/>
        <v>10</v>
      </c>
      <c r="C192" s="7">
        <f t="shared" si="2"/>
        <v>7</v>
      </c>
      <c r="D192" s="7">
        <v>6464.22</v>
      </c>
      <c r="E192" s="7">
        <v>9500.0</v>
      </c>
      <c r="F192" s="7">
        <v>12627.0</v>
      </c>
      <c r="G192" s="7">
        <v>22127.0</v>
      </c>
      <c r="H192" s="7">
        <v>525.35</v>
      </c>
      <c r="I192" s="7">
        <v>5147.0</v>
      </c>
      <c r="J192" s="7">
        <v>0.102</v>
      </c>
      <c r="K192" s="7">
        <v>4188.0</v>
      </c>
      <c r="L192" s="7">
        <v>2643.43</v>
      </c>
      <c r="M192" s="7">
        <v>3764.0</v>
      </c>
      <c r="N192" s="7">
        <v>0.702</v>
      </c>
      <c r="O192" s="8">
        <v>3118.0</v>
      </c>
      <c r="P192" s="7">
        <v>3206.45</v>
      </c>
      <c r="Q192" s="7">
        <v>2596761.0</v>
      </c>
      <c r="R192" s="7">
        <v>1.23</v>
      </c>
      <c r="S192" s="7">
        <v>5320.0</v>
      </c>
      <c r="T192" s="7">
        <v>0.0</v>
      </c>
      <c r="U192" s="7">
        <v>0.0</v>
      </c>
      <c r="V192" s="7">
        <v>0.0</v>
      </c>
      <c r="W192" s="7">
        <v>59.0</v>
      </c>
      <c r="X192" s="7">
        <v>88.99</v>
      </c>
      <c r="Y192" s="7">
        <v>53638.0</v>
      </c>
      <c r="Z192" s="7">
        <v>1.66</v>
      </c>
      <c r="AA192" s="11">
        <v>244.0</v>
      </c>
      <c r="AB192" s="7"/>
      <c r="AC192" s="10"/>
      <c r="AD192" s="10"/>
    </row>
    <row r="193" ht="15.75" customHeight="1">
      <c r="A193" s="6">
        <v>44753.0</v>
      </c>
      <c r="B193" s="7">
        <f t="shared" si="1"/>
        <v>11</v>
      </c>
      <c r="C193" s="7">
        <f t="shared" si="2"/>
        <v>7</v>
      </c>
      <c r="D193" s="7">
        <v>6751.39</v>
      </c>
      <c r="E193" s="7">
        <v>11575.0</v>
      </c>
      <c r="F193" s="7">
        <v>12371.0</v>
      </c>
      <c r="G193" s="7">
        <v>23946.0</v>
      </c>
      <c r="H193" s="7">
        <v>797.61</v>
      </c>
      <c r="I193" s="7">
        <v>5419.0</v>
      </c>
      <c r="J193" s="7">
        <v>0.147</v>
      </c>
      <c r="K193" s="7">
        <v>4808.0</v>
      </c>
      <c r="L193" s="7">
        <v>2837.39</v>
      </c>
      <c r="M193" s="7">
        <v>3852.0</v>
      </c>
      <c r="N193" s="7">
        <v>0.737</v>
      </c>
      <c r="O193" s="8">
        <v>3274.0</v>
      </c>
      <c r="P193" s="7">
        <v>3027.73</v>
      </c>
      <c r="Q193" s="7">
        <v>2489078.0</v>
      </c>
      <c r="R193" s="7">
        <v>1.22</v>
      </c>
      <c r="S193" s="7">
        <v>4594.0</v>
      </c>
      <c r="T193" s="7">
        <v>0.0</v>
      </c>
      <c r="U193" s="7">
        <v>0.0</v>
      </c>
      <c r="V193" s="7">
        <v>0.0</v>
      </c>
      <c r="W193" s="7">
        <v>71.0</v>
      </c>
      <c r="X193" s="7">
        <v>88.66</v>
      </c>
      <c r="Y193" s="7">
        <v>76955.0</v>
      </c>
      <c r="Z193" s="7">
        <v>1.15</v>
      </c>
      <c r="AA193" s="11">
        <v>212.0</v>
      </c>
      <c r="AB193" s="7"/>
      <c r="AC193" s="10"/>
      <c r="AD193" s="10"/>
    </row>
    <row r="194" ht="15.75" customHeight="1">
      <c r="A194" s="6">
        <v>44754.0</v>
      </c>
      <c r="B194" s="7">
        <f t="shared" si="1"/>
        <v>12</v>
      </c>
      <c r="C194" s="7">
        <f t="shared" si="2"/>
        <v>7</v>
      </c>
      <c r="D194" s="7">
        <v>6127.29</v>
      </c>
      <c r="E194" s="7">
        <v>11791.0</v>
      </c>
      <c r="F194" s="7">
        <v>10359.0</v>
      </c>
      <c r="G194" s="7">
        <v>22150.0</v>
      </c>
      <c r="H194" s="7">
        <v>796.57</v>
      </c>
      <c r="I194" s="7">
        <v>5193.0</v>
      </c>
      <c r="J194" s="7">
        <v>0.153</v>
      </c>
      <c r="K194" s="7">
        <v>3864.0</v>
      </c>
      <c r="L194" s="7">
        <v>2293.59</v>
      </c>
      <c r="M194" s="7">
        <v>3414.0</v>
      </c>
      <c r="N194" s="7">
        <v>0.672</v>
      </c>
      <c r="O194" s="8">
        <v>2625.0</v>
      </c>
      <c r="P194" s="7">
        <v>2948.21</v>
      </c>
      <c r="Q194" s="7">
        <v>2261016.0</v>
      </c>
      <c r="R194" s="7">
        <v>1.3</v>
      </c>
      <c r="S194" s="7">
        <v>3696.0</v>
      </c>
      <c r="T194" s="7">
        <v>0.0</v>
      </c>
      <c r="U194" s="7">
        <v>0.0</v>
      </c>
      <c r="V194" s="7">
        <v>0.0</v>
      </c>
      <c r="W194" s="7">
        <v>60.0</v>
      </c>
      <c r="X194" s="7">
        <v>88.92</v>
      </c>
      <c r="Y194" s="7">
        <v>74768.0</v>
      </c>
      <c r="Z194" s="7">
        <v>1.19</v>
      </c>
      <c r="AA194" s="11">
        <v>181.0</v>
      </c>
      <c r="AB194" s="7"/>
      <c r="AC194" s="10"/>
      <c r="AD194" s="10"/>
    </row>
    <row r="195" ht="15.75" customHeight="1">
      <c r="A195" s="6">
        <v>44755.0</v>
      </c>
      <c r="B195" s="7">
        <f t="shared" si="1"/>
        <v>13</v>
      </c>
      <c r="C195" s="7">
        <f t="shared" si="2"/>
        <v>7</v>
      </c>
      <c r="D195" s="7">
        <v>5762.83</v>
      </c>
      <c r="E195" s="7">
        <v>11091.0</v>
      </c>
      <c r="F195" s="7">
        <v>11404.0</v>
      </c>
      <c r="G195" s="7">
        <v>22495.0</v>
      </c>
      <c r="H195" s="7">
        <v>793.66</v>
      </c>
      <c r="I195" s="7">
        <v>4999.0</v>
      </c>
      <c r="J195" s="7">
        <v>0.159</v>
      </c>
      <c r="K195" s="7">
        <v>4391.0</v>
      </c>
      <c r="L195" s="7">
        <v>2191.72</v>
      </c>
      <c r="M195" s="7">
        <v>3160.0</v>
      </c>
      <c r="N195" s="7">
        <v>0.694</v>
      </c>
      <c r="O195" s="8">
        <v>2727.0</v>
      </c>
      <c r="P195" s="7">
        <v>2689.28</v>
      </c>
      <c r="Q195" s="7">
        <v>2022853.0</v>
      </c>
      <c r="R195" s="7">
        <v>1.33</v>
      </c>
      <c r="S195" s="7">
        <v>4065.0</v>
      </c>
      <c r="T195" s="7">
        <v>0.0</v>
      </c>
      <c r="U195" s="7">
        <v>0.0</v>
      </c>
      <c r="V195" s="7">
        <v>0.0</v>
      </c>
      <c r="W195" s="7">
        <v>78.0</v>
      </c>
      <c r="X195" s="7">
        <v>88.17</v>
      </c>
      <c r="Y195" s="7">
        <v>61950.0</v>
      </c>
      <c r="Z195" s="7">
        <v>1.42</v>
      </c>
      <c r="AA195" s="11">
        <v>176.0</v>
      </c>
      <c r="AB195" s="7"/>
      <c r="AC195" s="10"/>
      <c r="AD195" s="10"/>
    </row>
    <row r="196" ht="15.75" customHeight="1">
      <c r="A196" s="6">
        <v>44756.0</v>
      </c>
      <c r="B196" s="7">
        <f t="shared" si="1"/>
        <v>14</v>
      </c>
      <c r="C196" s="7">
        <f t="shared" si="2"/>
        <v>7</v>
      </c>
      <c r="D196" s="7">
        <v>5253.22</v>
      </c>
      <c r="E196" s="7">
        <v>11148.0</v>
      </c>
      <c r="F196" s="7">
        <v>10705.0</v>
      </c>
      <c r="G196" s="7">
        <v>21853.0</v>
      </c>
      <c r="H196" s="7">
        <v>885.57</v>
      </c>
      <c r="I196" s="7">
        <v>4785.0</v>
      </c>
      <c r="J196" s="7">
        <v>0.185</v>
      </c>
      <c r="K196" s="7">
        <v>4239.0</v>
      </c>
      <c r="L196" s="7">
        <v>1933.52</v>
      </c>
      <c r="M196" s="7">
        <v>2986.0</v>
      </c>
      <c r="N196" s="7">
        <v>0.648</v>
      </c>
      <c r="O196" s="8">
        <v>2650.0</v>
      </c>
      <c r="P196" s="7">
        <v>2344.84</v>
      </c>
      <c r="Q196" s="7">
        <v>1821753.0</v>
      </c>
      <c r="R196" s="7">
        <v>1.29</v>
      </c>
      <c r="S196" s="7">
        <v>3783.0</v>
      </c>
      <c r="T196" s="7">
        <v>0.0</v>
      </c>
      <c r="U196" s="7">
        <v>0.0</v>
      </c>
      <c r="V196" s="7">
        <v>0.0</v>
      </c>
      <c r="W196" s="7">
        <v>71.0</v>
      </c>
      <c r="X196" s="7">
        <v>89.29</v>
      </c>
      <c r="Y196" s="7">
        <v>72236.0</v>
      </c>
      <c r="Z196" s="7">
        <v>1.24</v>
      </c>
      <c r="AA196" s="11">
        <v>173.0</v>
      </c>
      <c r="AB196" s="7"/>
      <c r="AC196" s="10"/>
      <c r="AD196" s="10"/>
    </row>
    <row r="197" ht="15.75" customHeight="1">
      <c r="A197" s="6">
        <v>44757.0</v>
      </c>
      <c r="B197" s="7">
        <f t="shared" si="1"/>
        <v>15</v>
      </c>
      <c r="C197" s="7">
        <f t="shared" si="2"/>
        <v>7</v>
      </c>
      <c r="D197" s="7">
        <v>5359.71</v>
      </c>
      <c r="E197" s="7">
        <v>9954.0</v>
      </c>
      <c r="F197" s="7">
        <v>10334.0</v>
      </c>
      <c r="G197" s="7">
        <v>20288.0</v>
      </c>
      <c r="H197" s="7">
        <v>785.83</v>
      </c>
      <c r="I197" s="7">
        <v>4436.0</v>
      </c>
      <c r="J197" s="7">
        <v>0.177</v>
      </c>
      <c r="K197" s="7">
        <v>3968.0</v>
      </c>
      <c r="L197" s="7">
        <v>2024.55</v>
      </c>
      <c r="M197" s="7">
        <v>2863.0</v>
      </c>
      <c r="N197" s="7">
        <v>0.707</v>
      </c>
      <c r="O197" s="8">
        <v>2414.0</v>
      </c>
      <c r="P197" s="7">
        <v>2459.59</v>
      </c>
      <c r="Q197" s="7">
        <v>1851262.0</v>
      </c>
      <c r="R197" s="7">
        <v>1.33</v>
      </c>
      <c r="S197" s="7">
        <v>3781.0</v>
      </c>
      <c r="T197" s="7">
        <v>0.0</v>
      </c>
      <c r="U197" s="7">
        <v>0.0</v>
      </c>
      <c r="V197" s="7">
        <v>0.0</v>
      </c>
      <c r="W197" s="7">
        <v>51.0</v>
      </c>
      <c r="X197" s="7">
        <v>89.74</v>
      </c>
      <c r="Y197" s="7">
        <v>60493.0</v>
      </c>
      <c r="Z197" s="7">
        <v>1.48</v>
      </c>
      <c r="AA197" s="11">
        <v>135.0</v>
      </c>
      <c r="AB197" s="7"/>
      <c r="AC197" s="10"/>
      <c r="AD197" s="10"/>
    </row>
    <row r="198" ht="15.75" customHeight="1">
      <c r="A198" s="6">
        <v>44758.0</v>
      </c>
      <c r="B198" s="7">
        <f t="shared" si="1"/>
        <v>16</v>
      </c>
      <c r="C198" s="7">
        <f t="shared" si="2"/>
        <v>7</v>
      </c>
      <c r="D198" s="7">
        <v>5437.61</v>
      </c>
      <c r="E198" s="7">
        <v>8896.0</v>
      </c>
      <c r="F198" s="7">
        <v>10264.0</v>
      </c>
      <c r="G198" s="7">
        <v>19160.0</v>
      </c>
      <c r="H198" s="7">
        <v>546.93</v>
      </c>
      <c r="I198" s="7">
        <v>4225.0</v>
      </c>
      <c r="J198" s="7">
        <v>0.129</v>
      </c>
      <c r="K198" s="7">
        <v>3414.0</v>
      </c>
      <c r="L198" s="7">
        <v>2196.31</v>
      </c>
      <c r="M198" s="7">
        <v>3295.0</v>
      </c>
      <c r="N198" s="7">
        <v>0.667</v>
      </c>
      <c r="O198" s="8">
        <v>2537.0</v>
      </c>
      <c r="P198" s="7">
        <v>2604.76</v>
      </c>
      <c r="Q198" s="7">
        <v>1987617.0</v>
      </c>
      <c r="R198" s="7">
        <v>1.31</v>
      </c>
      <c r="S198" s="7">
        <v>4145.0</v>
      </c>
      <c r="T198" s="7">
        <v>0.0</v>
      </c>
      <c r="U198" s="7">
        <v>0.0</v>
      </c>
      <c r="V198" s="7">
        <v>0.0</v>
      </c>
      <c r="W198" s="7">
        <v>46.0</v>
      </c>
      <c r="X198" s="7">
        <v>89.61</v>
      </c>
      <c r="Y198" s="7">
        <v>60013.0</v>
      </c>
      <c r="Z198" s="7">
        <v>1.49</v>
      </c>
      <c r="AA198" s="11">
        <v>181.0</v>
      </c>
      <c r="AB198" s="7"/>
      <c r="AC198" s="10"/>
      <c r="AD198" s="10"/>
    </row>
    <row r="199" ht="15.75" customHeight="1">
      <c r="A199" s="6">
        <v>44759.0</v>
      </c>
      <c r="B199" s="7">
        <f t="shared" si="1"/>
        <v>17</v>
      </c>
      <c r="C199" s="7">
        <f t="shared" si="2"/>
        <v>7</v>
      </c>
      <c r="D199" s="7">
        <v>5515.98</v>
      </c>
      <c r="E199" s="7">
        <v>10030.0</v>
      </c>
      <c r="F199" s="7">
        <v>11789.0</v>
      </c>
      <c r="G199" s="7">
        <v>21819.0</v>
      </c>
      <c r="H199" s="7">
        <v>613.27</v>
      </c>
      <c r="I199" s="7">
        <v>4956.0</v>
      </c>
      <c r="J199" s="7">
        <v>0.124</v>
      </c>
      <c r="K199" s="7">
        <v>4089.0</v>
      </c>
      <c r="L199" s="7">
        <v>1998.34</v>
      </c>
      <c r="M199" s="7">
        <v>3238.0</v>
      </c>
      <c r="N199" s="7">
        <v>0.617</v>
      </c>
      <c r="O199" s="8">
        <v>2644.0</v>
      </c>
      <c r="P199" s="7">
        <v>2814.96</v>
      </c>
      <c r="Q199" s="7">
        <v>2364191.0</v>
      </c>
      <c r="R199" s="7">
        <v>1.19</v>
      </c>
      <c r="S199" s="7">
        <v>4917.0</v>
      </c>
      <c r="T199" s="7">
        <v>0.0</v>
      </c>
      <c r="U199" s="7">
        <v>0.0</v>
      </c>
      <c r="V199" s="7">
        <v>0.0</v>
      </c>
      <c r="W199" s="7">
        <v>54.0</v>
      </c>
      <c r="X199" s="7">
        <v>89.41</v>
      </c>
      <c r="Y199" s="7">
        <v>64137.0</v>
      </c>
      <c r="Z199" s="7">
        <v>1.39</v>
      </c>
      <c r="AA199" s="11">
        <v>158.0</v>
      </c>
      <c r="AB199" s="7"/>
      <c r="AC199" s="10"/>
      <c r="AD199" s="10"/>
    </row>
    <row r="200" ht="15.75" customHeight="1">
      <c r="A200" s="6">
        <v>44760.0</v>
      </c>
      <c r="B200" s="7">
        <f t="shared" si="1"/>
        <v>18</v>
      </c>
      <c r="C200" s="7">
        <f t="shared" si="2"/>
        <v>7</v>
      </c>
      <c r="D200" s="7">
        <v>5803.7</v>
      </c>
      <c r="E200" s="7">
        <v>12247.0</v>
      </c>
      <c r="F200" s="7">
        <v>10310.0</v>
      </c>
      <c r="G200" s="7">
        <v>22557.0</v>
      </c>
      <c r="H200" s="7">
        <v>660.99</v>
      </c>
      <c r="I200" s="7">
        <v>5185.0</v>
      </c>
      <c r="J200" s="7">
        <v>0.127</v>
      </c>
      <c r="K200" s="7">
        <v>3913.0</v>
      </c>
      <c r="L200" s="7">
        <v>2371.3</v>
      </c>
      <c r="M200" s="7">
        <v>3471.0</v>
      </c>
      <c r="N200" s="7">
        <v>0.683</v>
      </c>
      <c r="O200" s="8">
        <v>2537.0</v>
      </c>
      <c r="P200" s="7">
        <v>2682.44</v>
      </c>
      <c r="Q200" s="7">
        <v>2380911.0</v>
      </c>
      <c r="R200" s="7">
        <v>1.13</v>
      </c>
      <c r="S200" s="7">
        <v>3959.0</v>
      </c>
      <c r="T200" s="7">
        <v>0.0</v>
      </c>
      <c r="U200" s="7">
        <v>0.0</v>
      </c>
      <c r="V200" s="7">
        <v>0.0</v>
      </c>
      <c r="W200" s="7">
        <v>72.0</v>
      </c>
      <c r="X200" s="7">
        <v>88.97</v>
      </c>
      <c r="Y200" s="7">
        <v>52531.0</v>
      </c>
      <c r="Z200" s="7">
        <v>1.69</v>
      </c>
      <c r="AA200" s="11">
        <v>115.0</v>
      </c>
      <c r="AB200" s="7"/>
      <c r="AC200" s="10"/>
      <c r="AD200" s="10"/>
    </row>
    <row r="201" ht="15.75" customHeight="1">
      <c r="A201" s="6">
        <v>44761.0</v>
      </c>
      <c r="B201" s="7">
        <f t="shared" si="1"/>
        <v>19</v>
      </c>
      <c r="C201" s="7">
        <f t="shared" si="2"/>
        <v>7</v>
      </c>
      <c r="D201" s="7">
        <v>5553.66</v>
      </c>
      <c r="E201" s="7">
        <v>11113.0</v>
      </c>
      <c r="F201" s="7">
        <v>11098.0</v>
      </c>
      <c r="G201" s="7">
        <v>22211.0</v>
      </c>
      <c r="H201" s="7">
        <v>551.37</v>
      </c>
      <c r="I201" s="7">
        <v>5032.0</v>
      </c>
      <c r="J201" s="7">
        <v>0.11</v>
      </c>
      <c r="K201" s="7">
        <v>4403.0</v>
      </c>
      <c r="L201" s="7">
        <v>2334.91</v>
      </c>
      <c r="M201" s="7">
        <v>3479.0</v>
      </c>
      <c r="N201" s="7">
        <v>0.671</v>
      </c>
      <c r="O201" s="8">
        <v>3000.0</v>
      </c>
      <c r="P201" s="7">
        <v>2591.32</v>
      </c>
      <c r="Q201" s="7">
        <v>2136511.0</v>
      </c>
      <c r="R201" s="7">
        <v>1.21</v>
      </c>
      <c r="S201" s="7">
        <v>3875.0</v>
      </c>
      <c r="T201" s="7">
        <v>0.0</v>
      </c>
      <c r="U201" s="7">
        <v>0.0</v>
      </c>
      <c r="V201" s="7">
        <v>0.0</v>
      </c>
      <c r="W201" s="7">
        <v>42.0</v>
      </c>
      <c r="X201" s="7">
        <v>76.06</v>
      </c>
      <c r="Y201" s="7">
        <v>59484.0</v>
      </c>
      <c r="Z201" s="7">
        <v>1.28</v>
      </c>
      <c r="AA201" s="11">
        <v>113.0</v>
      </c>
      <c r="AB201" s="7"/>
      <c r="AC201" s="10"/>
      <c r="AD201" s="10"/>
    </row>
    <row r="202" ht="15.75" customHeight="1">
      <c r="A202" s="6">
        <v>44762.0</v>
      </c>
      <c r="B202" s="7">
        <f t="shared" si="1"/>
        <v>20</v>
      </c>
      <c r="C202" s="7">
        <f t="shared" si="2"/>
        <v>7</v>
      </c>
      <c r="D202" s="7">
        <v>5183.54</v>
      </c>
      <c r="E202" s="7">
        <v>11169.0</v>
      </c>
      <c r="F202" s="7">
        <v>9512.0</v>
      </c>
      <c r="G202" s="7">
        <v>20681.0</v>
      </c>
      <c r="H202" s="7">
        <v>513.05</v>
      </c>
      <c r="I202" s="7">
        <v>4979.0</v>
      </c>
      <c r="J202" s="7">
        <v>0.103</v>
      </c>
      <c r="K202" s="7">
        <v>3839.0</v>
      </c>
      <c r="L202" s="7">
        <v>2071.45</v>
      </c>
      <c r="M202" s="7">
        <v>3079.0</v>
      </c>
      <c r="N202" s="7">
        <v>0.673</v>
      </c>
      <c r="O202" s="8">
        <v>2467.0</v>
      </c>
      <c r="P202" s="7">
        <v>2538.21</v>
      </c>
      <c r="Q202" s="7">
        <v>1897506.0</v>
      </c>
      <c r="R202" s="7">
        <v>1.34</v>
      </c>
      <c r="S202" s="7">
        <v>3214.0</v>
      </c>
      <c r="T202" s="7">
        <v>0.0</v>
      </c>
      <c r="U202" s="7">
        <v>0.0</v>
      </c>
      <c r="V202" s="7">
        <v>0.0</v>
      </c>
      <c r="W202" s="7">
        <v>56.0</v>
      </c>
      <c r="X202" s="7">
        <v>60.83</v>
      </c>
      <c r="Y202" s="7">
        <v>50607.0</v>
      </c>
      <c r="Z202" s="7">
        <v>1.2</v>
      </c>
      <c r="AA202" s="11">
        <v>85.0</v>
      </c>
      <c r="AB202" s="7"/>
      <c r="AC202" s="10"/>
      <c r="AD202" s="10"/>
    </row>
    <row r="203" ht="15.75" customHeight="1">
      <c r="A203" s="6">
        <v>44763.0</v>
      </c>
      <c r="B203" s="7">
        <f t="shared" si="1"/>
        <v>21</v>
      </c>
      <c r="C203" s="7">
        <f t="shared" si="2"/>
        <v>7</v>
      </c>
      <c r="D203" s="7">
        <v>5737.49</v>
      </c>
      <c r="E203" s="7">
        <v>12058.0</v>
      </c>
      <c r="F203" s="7">
        <v>9159.0</v>
      </c>
      <c r="G203" s="7">
        <v>21217.0</v>
      </c>
      <c r="H203" s="7">
        <v>469.4</v>
      </c>
      <c r="I203" s="7">
        <v>4628.0</v>
      </c>
      <c r="J203" s="7">
        <v>0.101</v>
      </c>
      <c r="K203" s="7">
        <v>3627.0</v>
      </c>
      <c r="L203" s="7">
        <v>2298.74</v>
      </c>
      <c r="M203" s="7">
        <v>3133.0</v>
      </c>
      <c r="N203" s="7">
        <v>0.734</v>
      </c>
      <c r="O203" s="8">
        <v>2331.0</v>
      </c>
      <c r="P203" s="7">
        <v>2879.81</v>
      </c>
      <c r="Q203" s="7">
        <v>2042872.0</v>
      </c>
      <c r="R203" s="7">
        <v>1.41</v>
      </c>
      <c r="S203" s="7">
        <v>3361.0</v>
      </c>
      <c r="T203" s="7">
        <v>0.0</v>
      </c>
      <c r="U203" s="7">
        <v>0.0</v>
      </c>
      <c r="V203" s="7">
        <v>0.0</v>
      </c>
      <c r="W203" s="7">
        <v>50.0</v>
      </c>
      <c r="X203" s="7">
        <v>89.54</v>
      </c>
      <c r="Y203" s="7">
        <v>67596.0</v>
      </c>
      <c r="Z203" s="7">
        <v>1.32</v>
      </c>
      <c r="AA203" s="11">
        <v>93.0</v>
      </c>
      <c r="AB203" s="7"/>
      <c r="AC203" s="10"/>
      <c r="AD203" s="10"/>
    </row>
    <row r="204" ht="15.75" customHeight="1">
      <c r="A204" s="6">
        <v>44764.0</v>
      </c>
      <c r="B204" s="7">
        <f t="shared" si="1"/>
        <v>22</v>
      </c>
      <c r="C204" s="7">
        <f t="shared" si="2"/>
        <v>7</v>
      </c>
      <c r="D204" s="7">
        <v>6277.97</v>
      </c>
      <c r="E204" s="7">
        <v>10024.0</v>
      </c>
      <c r="F204" s="7">
        <v>10784.0</v>
      </c>
      <c r="G204" s="7">
        <v>20808.0</v>
      </c>
      <c r="H204" s="7">
        <v>436.85</v>
      </c>
      <c r="I204" s="7">
        <v>4436.0</v>
      </c>
      <c r="J204" s="7">
        <v>0.098</v>
      </c>
      <c r="K204" s="7">
        <v>3793.0</v>
      </c>
      <c r="L204" s="7">
        <v>2938.5</v>
      </c>
      <c r="M204" s="7">
        <v>3632.0</v>
      </c>
      <c r="N204" s="7">
        <v>0.809</v>
      </c>
      <c r="O204" s="8">
        <v>2857.0</v>
      </c>
      <c r="P204" s="7">
        <v>2812.9</v>
      </c>
      <c r="Q204" s="7">
        <v>1908111.0</v>
      </c>
      <c r="R204" s="7">
        <v>1.47</v>
      </c>
      <c r="S204" s="7">
        <v>4063.0</v>
      </c>
      <c r="T204" s="7">
        <v>0.0</v>
      </c>
      <c r="U204" s="7">
        <v>0.0</v>
      </c>
      <c r="V204" s="7">
        <v>0.0</v>
      </c>
      <c r="W204" s="7">
        <v>68.0</v>
      </c>
      <c r="X204" s="7">
        <v>89.72</v>
      </c>
      <c r="Y204" s="7">
        <v>57374.0</v>
      </c>
      <c r="Z204" s="7">
        <v>1.56</v>
      </c>
      <c r="AA204" s="11">
        <v>105.0</v>
      </c>
      <c r="AB204" s="7"/>
      <c r="AC204" s="10"/>
      <c r="AD204" s="10"/>
    </row>
    <row r="205" ht="15.75" customHeight="1">
      <c r="A205" s="6">
        <v>44765.0</v>
      </c>
      <c r="B205" s="7">
        <f t="shared" si="1"/>
        <v>23</v>
      </c>
      <c r="C205" s="7">
        <f t="shared" si="2"/>
        <v>7</v>
      </c>
      <c r="D205" s="7">
        <v>6380.71</v>
      </c>
      <c r="E205" s="7">
        <v>8845.0</v>
      </c>
      <c r="F205" s="7">
        <v>10448.0</v>
      </c>
      <c r="G205" s="7">
        <v>19293.0</v>
      </c>
      <c r="H205" s="7">
        <v>444.63</v>
      </c>
      <c r="I205" s="7">
        <v>4209.0</v>
      </c>
      <c r="J205" s="7">
        <v>0.106</v>
      </c>
      <c r="K205" s="7">
        <v>3395.0</v>
      </c>
      <c r="L205" s="7">
        <v>2980.68</v>
      </c>
      <c r="M205" s="7">
        <v>3715.0</v>
      </c>
      <c r="N205" s="7">
        <v>0.802</v>
      </c>
      <c r="O205" s="8">
        <v>2807.0</v>
      </c>
      <c r="P205" s="7">
        <v>2865.52</v>
      </c>
      <c r="Q205" s="7">
        <v>1898479.0</v>
      </c>
      <c r="R205" s="7">
        <v>1.51</v>
      </c>
      <c r="S205" s="7">
        <v>4079.0</v>
      </c>
      <c r="T205" s="7">
        <v>0.0</v>
      </c>
      <c r="U205" s="7">
        <v>0.0</v>
      </c>
      <c r="V205" s="7">
        <v>0.0</v>
      </c>
      <c r="W205" s="7">
        <v>57.0</v>
      </c>
      <c r="X205" s="7">
        <v>89.88</v>
      </c>
      <c r="Y205" s="7">
        <v>58747.0</v>
      </c>
      <c r="Z205" s="7">
        <v>1.53</v>
      </c>
      <c r="AA205" s="11">
        <v>129.0</v>
      </c>
      <c r="AB205" s="7"/>
      <c r="AC205" s="10"/>
      <c r="AD205" s="10"/>
    </row>
    <row r="206" ht="15.75" customHeight="1">
      <c r="A206" s="6">
        <v>44766.0</v>
      </c>
      <c r="B206" s="7">
        <f t="shared" si="1"/>
        <v>24</v>
      </c>
      <c r="C206" s="7">
        <f t="shared" si="2"/>
        <v>7</v>
      </c>
      <c r="D206" s="7">
        <v>5859.6</v>
      </c>
      <c r="E206" s="7">
        <v>9878.0</v>
      </c>
      <c r="F206" s="7">
        <v>11841.0</v>
      </c>
      <c r="G206" s="7">
        <v>21719.0</v>
      </c>
      <c r="H206" s="7">
        <v>447.83</v>
      </c>
      <c r="I206" s="7">
        <v>4958.0</v>
      </c>
      <c r="J206" s="7">
        <v>0.09</v>
      </c>
      <c r="K206" s="7">
        <v>4005.0</v>
      </c>
      <c r="L206" s="7">
        <v>2367.36</v>
      </c>
      <c r="M206" s="7">
        <v>3465.0</v>
      </c>
      <c r="N206" s="7">
        <v>0.683</v>
      </c>
      <c r="O206" s="8">
        <v>2810.0</v>
      </c>
      <c r="P206" s="7">
        <v>2954.41</v>
      </c>
      <c r="Q206" s="7">
        <v>2229586.0</v>
      </c>
      <c r="R206" s="7">
        <v>1.33</v>
      </c>
      <c r="S206" s="7">
        <v>4799.0</v>
      </c>
      <c r="T206" s="7">
        <v>0.0</v>
      </c>
      <c r="U206" s="7">
        <v>0.0</v>
      </c>
      <c r="V206" s="7">
        <v>0.0</v>
      </c>
      <c r="W206" s="7">
        <v>69.0</v>
      </c>
      <c r="X206" s="7">
        <v>90.0</v>
      </c>
      <c r="Y206" s="7">
        <v>76899.0</v>
      </c>
      <c r="Z206" s="7">
        <v>1.17</v>
      </c>
      <c r="AA206" s="11">
        <v>149.0</v>
      </c>
      <c r="AB206" s="7"/>
      <c r="AC206" s="10"/>
      <c r="AD206" s="10"/>
    </row>
    <row r="207" ht="15.75" customHeight="1">
      <c r="A207" s="6">
        <v>44767.0</v>
      </c>
      <c r="B207" s="7">
        <f t="shared" si="1"/>
        <v>25</v>
      </c>
      <c r="C207" s="7">
        <f t="shared" si="2"/>
        <v>7</v>
      </c>
      <c r="D207" s="7">
        <v>5409.69</v>
      </c>
      <c r="E207" s="7">
        <v>11607.0</v>
      </c>
      <c r="F207" s="7">
        <v>11971.0</v>
      </c>
      <c r="G207" s="7">
        <v>23578.0</v>
      </c>
      <c r="H207" s="7">
        <v>540.92</v>
      </c>
      <c r="I207" s="7">
        <v>5452.0</v>
      </c>
      <c r="J207" s="7">
        <v>0.099</v>
      </c>
      <c r="K207" s="7">
        <v>4763.0</v>
      </c>
      <c r="L207" s="7">
        <v>2152.13</v>
      </c>
      <c r="M207" s="7">
        <v>3326.0</v>
      </c>
      <c r="N207" s="7">
        <v>0.647</v>
      </c>
      <c r="O207" s="8">
        <v>2831.0</v>
      </c>
      <c r="P207" s="7">
        <v>2626.87</v>
      </c>
      <c r="Q207" s="7">
        <v>2116077.0</v>
      </c>
      <c r="R207" s="7">
        <v>1.24</v>
      </c>
      <c r="S207" s="7">
        <v>4413.0</v>
      </c>
      <c r="T207" s="7">
        <v>0.0</v>
      </c>
      <c r="U207" s="7">
        <v>0.0</v>
      </c>
      <c r="V207" s="7">
        <v>0.0</v>
      </c>
      <c r="W207" s="7">
        <v>92.0</v>
      </c>
      <c r="X207" s="7">
        <v>89.77</v>
      </c>
      <c r="Y207" s="7">
        <v>81859.0</v>
      </c>
      <c r="Z207" s="7">
        <v>1.1</v>
      </c>
      <c r="AA207" s="11">
        <v>116.0</v>
      </c>
      <c r="AB207" s="7"/>
      <c r="AC207" s="10"/>
      <c r="AD207" s="10"/>
    </row>
    <row r="208" ht="15.75" customHeight="1">
      <c r="A208" s="6">
        <v>44768.0</v>
      </c>
      <c r="B208" s="7">
        <f t="shared" si="1"/>
        <v>26</v>
      </c>
      <c r="C208" s="7">
        <f t="shared" si="2"/>
        <v>7</v>
      </c>
      <c r="D208" s="7">
        <v>5459.65</v>
      </c>
      <c r="E208" s="7">
        <v>11504.0</v>
      </c>
      <c r="F208" s="7">
        <v>10802.0</v>
      </c>
      <c r="G208" s="7">
        <v>22306.0</v>
      </c>
      <c r="H208" s="7">
        <v>490.09</v>
      </c>
      <c r="I208" s="7">
        <v>5286.0</v>
      </c>
      <c r="J208" s="7">
        <v>0.093</v>
      </c>
      <c r="K208" s="7">
        <v>4514.0</v>
      </c>
      <c r="L208" s="7">
        <v>2082.19</v>
      </c>
      <c r="M208" s="7">
        <v>3389.0</v>
      </c>
      <c r="N208" s="7">
        <v>0.614</v>
      </c>
      <c r="O208" s="8">
        <v>2905.0</v>
      </c>
      <c r="P208" s="7">
        <v>2798.09</v>
      </c>
      <c r="Q208" s="7">
        <v>2103105.0</v>
      </c>
      <c r="R208" s="7">
        <v>1.33</v>
      </c>
      <c r="S208" s="7">
        <v>3645.0</v>
      </c>
      <c r="T208" s="7">
        <v>0.0</v>
      </c>
      <c r="U208" s="7">
        <v>0.0</v>
      </c>
      <c r="V208" s="7">
        <v>0.0</v>
      </c>
      <c r="W208" s="7">
        <v>88.0</v>
      </c>
      <c r="X208" s="7">
        <v>89.28</v>
      </c>
      <c r="Y208" s="7">
        <v>67936.0</v>
      </c>
      <c r="Z208" s="7">
        <v>1.31</v>
      </c>
      <c r="AA208" s="11">
        <v>111.0</v>
      </c>
      <c r="AB208" s="7"/>
      <c r="AC208" s="10"/>
      <c r="AD208" s="10"/>
    </row>
    <row r="209" ht="15.75" customHeight="1">
      <c r="A209" s="6">
        <v>44769.0</v>
      </c>
      <c r="B209" s="7">
        <f t="shared" si="1"/>
        <v>27</v>
      </c>
      <c r="C209" s="7">
        <f t="shared" si="2"/>
        <v>7</v>
      </c>
      <c r="D209" s="7">
        <v>5187.71</v>
      </c>
      <c r="E209" s="7">
        <v>11601.0</v>
      </c>
      <c r="F209" s="7">
        <v>10958.0</v>
      </c>
      <c r="G209" s="7">
        <v>22559.0</v>
      </c>
      <c r="H209" s="7">
        <v>408.63</v>
      </c>
      <c r="I209" s="7">
        <v>4947.0</v>
      </c>
      <c r="J209" s="7">
        <v>0.083</v>
      </c>
      <c r="K209" s="7">
        <v>4490.0</v>
      </c>
      <c r="L209" s="7">
        <v>2078.91</v>
      </c>
      <c r="M209" s="7">
        <v>3379.0</v>
      </c>
      <c r="N209" s="7">
        <v>0.615</v>
      </c>
      <c r="O209" s="8">
        <v>2814.0</v>
      </c>
      <c r="P209" s="7">
        <v>2610.22</v>
      </c>
      <c r="Q209" s="7">
        <v>1961282.0</v>
      </c>
      <c r="R209" s="7">
        <v>1.33</v>
      </c>
      <c r="S209" s="7">
        <v>3693.0</v>
      </c>
      <c r="T209" s="7">
        <v>0.0</v>
      </c>
      <c r="U209" s="7">
        <v>0.0</v>
      </c>
      <c r="V209" s="7">
        <v>0.0</v>
      </c>
      <c r="W209" s="7">
        <v>71.0</v>
      </c>
      <c r="X209" s="7">
        <v>89.95</v>
      </c>
      <c r="Y209" s="7">
        <v>73966.0</v>
      </c>
      <c r="Z209" s="7">
        <v>1.22</v>
      </c>
      <c r="AA209" s="11">
        <v>126.0</v>
      </c>
      <c r="AB209" s="7"/>
      <c r="AC209" s="10"/>
      <c r="AD209" s="10"/>
    </row>
    <row r="210" ht="15.75" customHeight="1">
      <c r="A210" s="6">
        <v>44770.0</v>
      </c>
      <c r="B210" s="7">
        <f t="shared" si="1"/>
        <v>28</v>
      </c>
      <c r="C210" s="7">
        <f t="shared" si="2"/>
        <v>7</v>
      </c>
      <c r="D210" s="7">
        <v>4515.95</v>
      </c>
      <c r="E210" s="7">
        <v>10583.0</v>
      </c>
      <c r="F210" s="7">
        <v>10038.0</v>
      </c>
      <c r="G210" s="7">
        <v>20621.0</v>
      </c>
      <c r="H210" s="7">
        <v>452.19</v>
      </c>
      <c r="I210" s="7">
        <v>4475.0</v>
      </c>
      <c r="J210" s="7">
        <v>0.101</v>
      </c>
      <c r="K210" s="7">
        <v>3780.0</v>
      </c>
      <c r="L210" s="7">
        <v>1894.96</v>
      </c>
      <c r="M210" s="7">
        <v>3290.0</v>
      </c>
      <c r="N210" s="7">
        <v>0.576</v>
      </c>
      <c r="O210" s="8">
        <v>2760.0</v>
      </c>
      <c r="P210" s="7">
        <v>2078.8</v>
      </c>
      <c r="Q210" s="7">
        <v>1534379.0</v>
      </c>
      <c r="R210" s="7">
        <v>1.35</v>
      </c>
      <c r="S210" s="7">
        <v>3480.0</v>
      </c>
      <c r="T210" s="7">
        <v>0.0</v>
      </c>
      <c r="U210" s="7">
        <v>0.0</v>
      </c>
      <c r="V210" s="7">
        <v>0.0</v>
      </c>
      <c r="W210" s="7">
        <v>62.0</v>
      </c>
      <c r="X210" s="7">
        <v>90.0</v>
      </c>
      <c r="Y210" s="7">
        <v>76517.0</v>
      </c>
      <c r="Z210" s="7">
        <v>1.18</v>
      </c>
      <c r="AA210" s="11">
        <v>88.0</v>
      </c>
      <c r="AB210" s="7"/>
      <c r="AC210" s="10"/>
      <c r="AD210" s="10"/>
    </row>
    <row r="211" ht="15.75" customHeight="1">
      <c r="A211" s="6">
        <v>44771.0</v>
      </c>
      <c r="B211" s="7">
        <f t="shared" si="1"/>
        <v>29</v>
      </c>
      <c r="C211" s="7">
        <f t="shared" si="2"/>
        <v>7</v>
      </c>
      <c r="D211" s="7">
        <v>4520.23</v>
      </c>
      <c r="E211" s="7">
        <v>9970.0</v>
      </c>
      <c r="F211" s="7">
        <v>9827.0</v>
      </c>
      <c r="G211" s="7">
        <v>19797.0</v>
      </c>
      <c r="H211" s="7">
        <v>443.34</v>
      </c>
      <c r="I211" s="7">
        <v>4309.0</v>
      </c>
      <c r="J211" s="7">
        <v>0.103</v>
      </c>
      <c r="K211" s="7">
        <v>3673.0</v>
      </c>
      <c r="L211" s="7">
        <v>1863.77</v>
      </c>
      <c r="M211" s="7">
        <v>3215.0</v>
      </c>
      <c r="N211" s="7">
        <v>0.58</v>
      </c>
      <c r="O211" s="8">
        <v>2626.0</v>
      </c>
      <c r="P211" s="7">
        <v>2123.17</v>
      </c>
      <c r="Q211" s="7">
        <v>1650664.0</v>
      </c>
      <c r="R211" s="7">
        <v>1.29</v>
      </c>
      <c r="S211" s="7">
        <v>3467.0</v>
      </c>
      <c r="T211" s="7">
        <v>0.0</v>
      </c>
      <c r="U211" s="7">
        <v>0.0</v>
      </c>
      <c r="V211" s="7">
        <v>0.0</v>
      </c>
      <c r="W211" s="7">
        <v>70.0</v>
      </c>
      <c r="X211" s="7">
        <v>89.95</v>
      </c>
      <c r="Y211" s="7">
        <v>58029.0</v>
      </c>
      <c r="Z211" s="7">
        <v>1.55</v>
      </c>
      <c r="AA211" s="11">
        <v>67.0</v>
      </c>
      <c r="AB211" s="7"/>
      <c r="AC211" s="10"/>
      <c r="AD211" s="10"/>
    </row>
    <row r="212" ht="15.75" customHeight="1">
      <c r="A212" s="6">
        <v>44772.0</v>
      </c>
      <c r="B212" s="7">
        <f t="shared" si="1"/>
        <v>30</v>
      </c>
      <c r="C212" s="7">
        <f t="shared" si="2"/>
        <v>7</v>
      </c>
      <c r="D212" s="7">
        <v>4641.64</v>
      </c>
      <c r="E212" s="7">
        <v>11389.0</v>
      </c>
      <c r="F212" s="7">
        <v>8031.0</v>
      </c>
      <c r="G212" s="7">
        <v>19420.0</v>
      </c>
      <c r="H212" s="7">
        <v>461.94</v>
      </c>
      <c r="I212" s="7">
        <v>4354.0</v>
      </c>
      <c r="J212" s="7">
        <v>0.106</v>
      </c>
      <c r="K212" s="7">
        <v>2754.0</v>
      </c>
      <c r="L212" s="7">
        <v>1879.1</v>
      </c>
      <c r="M212" s="7">
        <v>3495.0</v>
      </c>
      <c r="N212" s="7">
        <v>0.538</v>
      </c>
      <c r="O212" s="8">
        <v>2158.0</v>
      </c>
      <c r="P212" s="7">
        <v>2210.85</v>
      </c>
      <c r="Q212" s="7">
        <v>1779374.0</v>
      </c>
      <c r="R212" s="7">
        <v>1.24</v>
      </c>
      <c r="S212" s="7">
        <v>3013.0</v>
      </c>
      <c r="T212" s="7">
        <v>0.0</v>
      </c>
      <c r="U212" s="7">
        <v>0.0</v>
      </c>
      <c r="V212" s="7">
        <v>0.0</v>
      </c>
      <c r="W212" s="7">
        <v>48.0</v>
      </c>
      <c r="X212" s="7">
        <v>89.75</v>
      </c>
      <c r="Y212" s="7">
        <v>64591.0</v>
      </c>
      <c r="Z212" s="7">
        <v>1.39</v>
      </c>
      <c r="AA212" s="11">
        <v>69.0</v>
      </c>
      <c r="AB212" s="7"/>
      <c r="AC212" s="10"/>
      <c r="AD212" s="10"/>
    </row>
    <row r="213" ht="15.75" customHeight="1">
      <c r="A213" s="6">
        <v>44773.0</v>
      </c>
      <c r="B213" s="7">
        <f t="shared" si="1"/>
        <v>31</v>
      </c>
      <c r="C213" s="7">
        <f t="shared" si="2"/>
        <v>7</v>
      </c>
      <c r="D213" s="7">
        <v>4458.68</v>
      </c>
      <c r="E213" s="7">
        <v>11221.0</v>
      </c>
      <c r="F213" s="7">
        <v>10175.0</v>
      </c>
      <c r="G213" s="7">
        <v>21396.0</v>
      </c>
      <c r="H213" s="7">
        <v>417.98</v>
      </c>
      <c r="I213" s="7">
        <v>4956.0</v>
      </c>
      <c r="J213" s="7">
        <v>0.084</v>
      </c>
      <c r="K213" s="7">
        <v>3373.0</v>
      </c>
      <c r="L213" s="7">
        <v>1631.32</v>
      </c>
      <c r="M213" s="7">
        <v>3327.0</v>
      </c>
      <c r="N213" s="7">
        <v>0.49</v>
      </c>
      <c r="O213" s="8">
        <v>2590.0</v>
      </c>
      <c r="P213" s="7">
        <v>2319.45</v>
      </c>
      <c r="Q213" s="7">
        <v>2085217.0</v>
      </c>
      <c r="R213" s="7">
        <v>1.11</v>
      </c>
      <c r="S213" s="7">
        <v>4020.0</v>
      </c>
      <c r="T213" s="7">
        <v>0.0</v>
      </c>
      <c r="U213" s="7">
        <v>0.0</v>
      </c>
      <c r="V213" s="7">
        <v>0.0</v>
      </c>
      <c r="W213" s="7">
        <v>46.0</v>
      </c>
      <c r="X213" s="7">
        <v>89.93</v>
      </c>
      <c r="Y213" s="7">
        <v>68308.0</v>
      </c>
      <c r="Z213" s="7">
        <v>1.32</v>
      </c>
      <c r="AA213" s="11">
        <v>94.0</v>
      </c>
      <c r="AB213" s="7"/>
      <c r="AC213" s="10"/>
      <c r="AD213" s="10"/>
    </row>
    <row r="214" ht="15.75" customHeight="1">
      <c r="A214" s="6">
        <v>44774.0</v>
      </c>
      <c r="B214" s="7">
        <f t="shared" si="1"/>
        <v>1</v>
      </c>
      <c r="C214" s="7">
        <f t="shared" si="2"/>
        <v>8</v>
      </c>
      <c r="D214" s="7">
        <v>3332.52</v>
      </c>
      <c r="E214" s="7">
        <v>12564.0</v>
      </c>
      <c r="F214" s="7">
        <v>9117.0</v>
      </c>
      <c r="G214" s="7">
        <v>21681.0</v>
      </c>
      <c r="H214" s="7">
        <v>540.8</v>
      </c>
      <c r="I214" s="7">
        <v>5485.0</v>
      </c>
      <c r="J214" s="7">
        <v>0.099</v>
      </c>
      <c r="K214" s="7">
        <v>4254.0</v>
      </c>
      <c r="L214" s="7">
        <v>1308.51</v>
      </c>
      <c r="M214" s="7">
        <v>2119.0</v>
      </c>
      <c r="N214" s="7">
        <v>0.618</v>
      </c>
      <c r="O214" s="8">
        <v>1975.0</v>
      </c>
      <c r="P214" s="7">
        <v>1423.21</v>
      </c>
      <c r="Q214" s="7">
        <v>1529955.0</v>
      </c>
      <c r="R214" s="7">
        <v>0.93</v>
      </c>
      <c r="S214" s="7">
        <v>2940.0</v>
      </c>
      <c r="T214" s="7">
        <v>0.0</v>
      </c>
      <c r="U214" s="7">
        <v>0.0</v>
      </c>
      <c r="V214" s="7">
        <v>0.0</v>
      </c>
      <c r="W214" s="7">
        <v>66.0</v>
      </c>
      <c r="X214" s="7">
        <v>60.0</v>
      </c>
      <c r="Y214" s="7">
        <v>42858.0</v>
      </c>
      <c r="Z214" s="7">
        <v>1.4</v>
      </c>
      <c r="AA214" s="11">
        <v>94.0</v>
      </c>
      <c r="AB214" s="7"/>
      <c r="AC214" s="10"/>
      <c r="AD214" s="10"/>
    </row>
    <row r="215" ht="15.75" customHeight="1">
      <c r="A215" s="6">
        <v>44775.0</v>
      </c>
      <c r="B215" s="7">
        <f t="shared" si="1"/>
        <v>2</v>
      </c>
      <c r="C215" s="7">
        <f t="shared" si="2"/>
        <v>8</v>
      </c>
      <c r="D215" s="7">
        <v>2441.63</v>
      </c>
      <c r="E215" s="7">
        <v>11901.0</v>
      </c>
      <c r="F215" s="7">
        <v>7960.0</v>
      </c>
      <c r="G215" s="7">
        <v>19861.0</v>
      </c>
      <c r="H215" s="7">
        <v>496.46</v>
      </c>
      <c r="I215" s="7">
        <v>5558.0</v>
      </c>
      <c r="J215" s="7">
        <v>0.089</v>
      </c>
      <c r="K215" s="7">
        <v>4581.0</v>
      </c>
      <c r="L215" s="7">
        <v>960.06</v>
      </c>
      <c r="M215" s="7">
        <v>1602.0</v>
      </c>
      <c r="N215" s="7">
        <v>0.599</v>
      </c>
      <c r="O215" s="8">
        <v>1413.0</v>
      </c>
      <c r="P215" s="7">
        <v>925.2</v>
      </c>
      <c r="Q215" s="7">
        <v>918959.0</v>
      </c>
      <c r="R215" s="7">
        <v>1.01</v>
      </c>
      <c r="S215" s="7">
        <v>2050.0</v>
      </c>
      <c r="T215" s="7">
        <v>0.0</v>
      </c>
      <c r="U215" s="7">
        <v>0.0</v>
      </c>
      <c r="V215" s="7">
        <v>0.0</v>
      </c>
      <c r="W215" s="7">
        <v>56.0</v>
      </c>
      <c r="X215" s="7">
        <v>59.91</v>
      </c>
      <c r="Y215" s="7">
        <v>53624.0</v>
      </c>
      <c r="Z215" s="7">
        <v>1.12</v>
      </c>
      <c r="AA215" s="11">
        <v>93.0</v>
      </c>
      <c r="AB215" s="7"/>
      <c r="AC215" s="10"/>
      <c r="AD215" s="10"/>
    </row>
    <row r="216" ht="15.75" customHeight="1">
      <c r="A216" s="6">
        <v>44776.0</v>
      </c>
      <c r="B216" s="7">
        <f t="shared" si="1"/>
        <v>3</v>
      </c>
      <c r="C216" s="7">
        <f t="shared" si="2"/>
        <v>8</v>
      </c>
      <c r="D216" s="7">
        <v>2047.08</v>
      </c>
      <c r="E216" s="7">
        <v>11776.0</v>
      </c>
      <c r="F216" s="7">
        <v>7394.0</v>
      </c>
      <c r="G216" s="7">
        <v>19170.0</v>
      </c>
      <c r="H216" s="7">
        <v>480.53</v>
      </c>
      <c r="I216" s="7">
        <v>5330.0</v>
      </c>
      <c r="J216" s="7">
        <v>0.09</v>
      </c>
      <c r="K216" s="7">
        <v>4320.0</v>
      </c>
      <c r="L216" s="7">
        <v>700.86</v>
      </c>
      <c r="M216" s="7">
        <v>1275.0</v>
      </c>
      <c r="N216" s="7">
        <v>0.55</v>
      </c>
      <c r="O216" s="8">
        <v>1153.0</v>
      </c>
      <c r="P216" s="7">
        <v>819.96</v>
      </c>
      <c r="Q216" s="7">
        <v>756470.0</v>
      </c>
      <c r="R216" s="7">
        <v>1.08</v>
      </c>
      <c r="S216" s="7">
        <v>2034.0</v>
      </c>
      <c r="T216" s="7">
        <v>0.0</v>
      </c>
      <c r="U216" s="7">
        <v>0.0</v>
      </c>
      <c r="V216" s="7">
        <v>0.0</v>
      </c>
      <c r="W216" s="7">
        <v>64.0</v>
      </c>
      <c r="X216" s="7">
        <v>45.73</v>
      </c>
      <c r="Y216" s="7">
        <v>32811.0</v>
      </c>
      <c r="Z216" s="7">
        <v>1.39</v>
      </c>
      <c r="AA216" s="11">
        <v>41.0</v>
      </c>
      <c r="AB216" s="7"/>
      <c r="AC216" s="10"/>
      <c r="AD216" s="10"/>
    </row>
    <row r="217" ht="15.75" customHeight="1">
      <c r="A217" s="6">
        <v>44777.0</v>
      </c>
      <c r="B217" s="7">
        <f t="shared" si="1"/>
        <v>4</v>
      </c>
      <c r="C217" s="7">
        <f t="shared" si="2"/>
        <v>8</v>
      </c>
      <c r="D217" s="7">
        <v>1716.99</v>
      </c>
      <c r="E217" s="7">
        <v>11160.0</v>
      </c>
      <c r="F217" s="7">
        <v>7337.0</v>
      </c>
      <c r="G217" s="7">
        <v>18497.0</v>
      </c>
      <c r="H217" s="7">
        <v>442.48</v>
      </c>
      <c r="I217" s="7">
        <v>4865.0</v>
      </c>
      <c r="J217" s="7">
        <v>0.091</v>
      </c>
      <c r="K217" s="7">
        <v>4010.0</v>
      </c>
      <c r="L217" s="7">
        <v>573.15</v>
      </c>
      <c r="M217" s="7">
        <v>1096.0</v>
      </c>
      <c r="N217" s="7">
        <v>0.523</v>
      </c>
      <c r="O217" s="8">
        <v>1083.0</v>
      </c>
      <c r="P217" s="7">
        <v>681.37</v>
      </c>
      <c r="Q217" s="7">
        <v>659539.0</v>
      </c>
      <c r="R217" s="7">
        <v>1.03</v>
      </c>
      <c r="S217" s="7">
        <v>2293.0</v>
      </c>
      <c r="T217" s="7">
        <v>0.0</v>
      </c>
      <c r="U217" s="7">
        <v>0.0</v>
      </c>
      <c r="V217" s="7">
        <v>0.0</v>
      </c>
      <c r="W217" s="7">
        <v>44.0</v>
      </c>
      <c r="X217" s="7">
        <v>19.99</v>
      </c>
      <c r="Y217" s="7">
        <v>16198.0</v>
      </c>
      <c r="Z217" s="7">
        <v>1.23</v>
      </c>
      <c r="AA217" s="11">
        <v>40.0</v>
      </c>
      <c r="AB217" s="7"/>
      <c r="AC217" s="10"/>
      <c r="AD217" s="10"/>
    </row>
    <row r="218" ht="15.75" customHeight="1">
      <c r="A218" s="6">
        <v>44778.0</v>
      </c>
      <c r="B218" s="7">
        <f t="shared" si="1"/>
        <v>5</v>
      </c>
      <c r="C218" s="7">
        <f t="shared" si="2"/>
        <v>8</v>
      </c>
      <c r="D218" s="7">
        <v>1890.6</v>
      </c>
      <c r="E218" s="7">
        <v>11071.0</v>
      </c>
      <c r="F218" s="7">
        <v>7042.0</v>
      </c>
      <c r="G218" s="7">
        <v>18113.0</v>
      </c>
      <c r="H218" s="7">
        <v>395.01</v>
      </c>
      <c r="I218" s="7">
        <v>4722.0</v>
      </c>
      <c r="J218" s="7">
        <v>0.084</v>
      </c>
      <c r="K218" s="7">
        <v>3833.0</v>
      </c>
      <c r="L218" s="7">
        <v>754.56</v>
      </c>
      <c r="M218" s="7">
        <v>1287.0</v>
      </c>
      <c r="N218" s="7">
        <v>0.586</v>
      </c>
      <c r="O218" s="8">
        <v>1120.0</v>
      </c>
      <c r="P218" s="7">
        <v>721.03</v>
      </c>
      <c r="Q218" s="7">
        <v>675613.0</v>
      </c>
      <c r="R218" s="7">
        <v>1.07</v>
      </c>
      <c r="S218" s="7">
        <v>2223.0</v>
      </c>
      <c r="T218" s="7">
        <v>0.0</v>
      </c>
      <c r="U218" s="7">
        <v>0.0</v>
      </c>
      <c r="V218" s="7">
        <v>0.0</v>
      </c>
      <c r="W218" s="7">
        <v>52.0</v>
      </c>
      <c r="X218" s="7">
        <v>20.0</v>
      </c>
      <c r="Y218" s="7">
        <v>17264.0</v>
      </c>
      <c r="Z218" s="7">
        <v>1.16</v>
      </c>
      <c r="AA218" s="11">
        <v>45.0</v>
      </c>
      <c r="AB218" s="7"/>
      <c r="AC218" s="10"/>
      <c r="AD218" s="10"/>
    </row>
    <row r="219" ht="15.75" customHeight="1">
      <c r="A219" s="6">
        <v>44779.0</v>
      </c>
      <c r="B219" s="7">
        <f t="shared" si="1"/>
        <v>6</v>
      </c>
      <c r="C219" s="7">
        <f t="shared" si="2"/>
        <v>8</v>
      </c>
      <c r="D219" s="7">
        <v>2012.48</v>
      </c>
      <c r="E219" s="7">
        <v>10077.0</v>
      </c>
      <c r="F219" s="7">
        <v>6720.0</v>
      </c>
      <c r="G219" s="7">
        <v>16797.0</v>
      </c>
      <c r="H219" s="7">
        <v>310.16</v>
      </c>
      <c r="I219" s="7">
        <v>4539.0</v>
      </c>
      <c r="J219" s="7">
        <v>0.068</v>
      </c>
      <c r="K219" s="7">
        <v>3573.0</v>
      </c>
      <c r="L219" s="7">
        <v>721.55</v>
      </c>
      <c r="M219" s="7">
        <v>1408.0</v>
      </c>
      <c r="N219" s="7">
        <v>0.512</v>
      </c>
      <c r="O219" s="8">
        <v>1129.0</v>
      </c>
      <c r="P219" s="7">
        <v>960.77</v>
      </c>
      <c r="Q219" s="7">
        <v>831278.0</v>
      </c>
      <c r="R219" s="7">
        <v>1.16</v>
      </c>
      <c r="S219" s="7">
        <v>2070.0</v>
      </c>
      <c r="T219" s="7">
        <v>0.0</v>
      </c>
      <c r="U219" s="7">
        <v>0.0</v>
      </c>
      <c r="V219" s="7">
        <v>0.0</v>
      </c>
      <c r="W219" s="7">
        <v>42.0</v>
      </c>
      <c r="X219" s="7">
        <v>20.0</v>
      </c>
      <c r="Y219" s="7">
        <v>15673.0</v>
      </c>
      <c r="Z219" s="7">
        <v>1.28</v>
      </c>
      <c r="AA219" s="11">
        <v>64.0</v>
      </c>
      <c r="AB219" s="7"/>
      <c r="AC219" s="10"/>
      <c r="AD219" s="10"/>
    </row>
    <row r="220" ht="15.75" customHeight="1">
      <c r="A220" s="6">
        <v>44780.0</v>
      </c>
      <c r="B220" s="7">
        <f t="shared" si="1"/>
        <v>7</v>
      </c>
      <c r="C220" s="7">
        <f t="shared" si="2"/>
        <v>8</v>
      </c>
      <c r="D220" s="7">
        <v>2288.55</v>
      </c>
      <c r="E220" s="7">
        <v>11222.0</v>
      </c>
      <c r="F220" s="7">
        <v>7401.0</v>
      </c>
      <c r="G220" s="7">
        <v>18623.0</v>
      </c>
      <c r="H220" s="7">
        <v>353.35</v>
      </c>
      <c r="I220" s="7">
        <v>4974.0</v>
      </c>
      <c r="J220" s="7">
        <v>0.071</v>
      </c>
      <c r="K220" s="7">
        <v>3802.0</v>
      </c>
      <c r="L220" s="7">
        <v>873.6</v>
      </c>
      <c r="M220" s="7">
        <v>1786.0</v>
      </c>
      <c r="N220" s="7">
        <v>0.489</v>
      </c>
      <c r="O220" s="8">
        <v>1433.0</v>
      </c>
      <c r="P220" s="7">
        <v>1041.6</v>
      </c>
      <c r="Q220" s="7">
        <v>938636.0</v>
      </c>
      <c r="R220" s="7">
        <v>1.11</v>
      </c>
      <c r="S220" s="7">
        <v>2156.0</v>
      </c>
      <c r="T220" s="7">
        <v>0.0</v>
      </c>
      <c r="U220" s="7">
        <v>0.0</v>
      </c>
      <c r="V220" s="7">
        <v>0.0</v>
      </c>
      <c r="W220" s="7">
        <v>39.0</v>
      </c>
      <c r="X220" s="7">
        <v>20.0</v>
      </c>
      <c r="Y220" s="7">
        <v>17066.0</v>
      </c>
      <c r="Z220" s="7">
        <v>1.17</v>
      </c>
      <c r="AA220" s="11">
        <v>54.0</v>
      </c>
      <c r="AB220" s="7"/>
      <c r="AC220" s="10"/>
      <c r="AD220" s="10"/>
    </row>
    <row r="221" ht="15.75" customHeight="1">
      <c r="A221" s="6">
        <v>44781.0</v>
      </c>
      <c r="B221" s="7">
        <f t="shared" si="1"/>
        <v>8</v>
      </c>
      <c r="C221" s="7">
        <f t="shared" si="2"/>
        <v>8</v>
      </c>
      <c r="D221" s="7">
        <v>2018.22</v>
      </c>
      <c r="E221" s="7">
        <v>11911.0</v>
      </c>
      <c r="F221" s="7">
        <v>7483.0</v>
      </c>
      <c r="G221" s="7">
        <v>19394.0</v>
      </c>
      <c r="H221" s="7">
        <v>344.86</v>
      </c>
      <c r="I221" s="7">
        <v>5123.0</v>
      </c>
      <c r="J221" s="7">
        <v>0.067</v>
      </c>
      <c r="K221" s="7">
        <v>4203.0</v>
      </c>
      <c r="L221" s="7">
        <v>776.1</v>
      </c>
      <c r="M221" s="7">
        <v>1476.0</v>
      </c>
      <c r="N221" s="7">
        <v>0.526</v>
      </c>
      <c r="O221" s="8">
        <v>1375.0</v>
      </c>
      <c r="P221" s="7">
        <v>877.26</v>
      </c>
      <c r="Q221" s="7">
        <v>860307.0</v>
      </c>
      <c r="R221" s="7">
        <v>1.02</v>
      </c>
      <c r="S221" s="7">
        <v>2033.0</v>
      </c>
      <c r="T221" s="7">
        <v>0.0</v>
      </c>
      <c r="U221" s="7">
        <v>0.0</v>
      </c>
      <c r="V221" s="7">
        <v>0.0</v>
      </c>
      <c r="W221" s="7">
        <v>41.0</v>
      </c>
      <c r="X221" s="7">
        <v>20.0</v>
      </c>
      <c r="Y221" s="7">
        <v>30024.0</v>
      </c>
      <c r="Z221" s="7">
        <v>0.67</v>
      </c>
      <c r="AA221" s="11">
        <v>61.0</v>
      </c>
      <c r="AB221" s="7"/>
      <c r="AC221" s="10"/>
      <c r="AD221" s="10"/>
    </row>
    <row r="222" ht="15.75" customHeight="1">
      <c r="A222" s="6">
        <v>44782.0</v>
      </c>
      <c r="B222" s="7">
        <f t="shared" si="1"/>
        <v>9</v>
      </c>
      <c r="C222" s="7">
        <f t="shared" si="2"/>
        <v>8</v>
      </c>
      <c r="D222" s="7">
        <v>1716.01</v>
      </c>
      <c r="E222" s="7">
        <v>11686.0</v>
      </c>
      <c r="F222" s="7">
        <v>7301.0</v>
      </c>
      <c r="G222" s="7">
        <v>18987.0</v>
      </c>
      <c r="H222" s="7">
        <v>335.44</v>
      </c>
      <c r="I222" s="7">
        <v>4970.0</v>
      </c>
      <c r="J222" s="7">
        <v>0.067</v>
      </c>
      <c r="K222" s="7">
        <v>3867.0</v>
      </c>
      <c r="L222" s="7">
        <v>697.62</v>
      </c>
      <c r="M222" s="7">
        <v>1384.0</v>
      </c>
      <c r="N222" s="7">
        <v>0.504</v>
      </c>
      <c r="O222" s="8">
        <v>1281.0</v>
      </c>
      <c r="P222" s="7">
        <v>662.98</v>
      </c>
      <c r="Q222" s="7">
        <v>694420.0</v>
      </c>
      <c r="R222" s="7">
        <v>0.95</v>
      </c>
      <c r="S222" s="7">
        <v>2181.0</v>
      </c>
      <c r="T222" s="7">
        <v>0.0</v>
      </c>
      <c r="U222" s="7">
        <v>0.0</v>
      </c>
      <c r="V222" s="7">
        <v>0.0</v>
      </c>
      <c r="W222" s="7">
        <v>63.0</v>
      </c>
      <c r="X222" s="7">
        <v>19.97</v>
      </c>
      <c r="Y222" s="7">
        <v>20427.0</v>
      </c>
      <c r="Z222" s="7">
        <v>0.98</v>
      </c>
      <c r="AA222" s="11">
        <v>36.0</v>
      </c>
      <c r="AB222" s="7"/>
      <c r="AC222" s="10"/>
      <c r="AD222" s="10"/>
    </row>
    <row r="223" ht="15.75" customHeight="1">
      <c r="A223" s="6">
        <v>44783.0</v>
      </c>
      <c r="B223" s="7">
        <f t="shared" si="1"/>
        <v>10</v>
      </c>
      <c r="C223" s="7">
        <f t="shared" si="2"/>
        <v>8</v>
      </c>
      <c r="D223" s="7">
        <v>1548.36</v>
      </c>
      <c r="E223" s="7">
        <v>11767.0</v>
      </c>
      <c r="F223" s="7">
        <v>6750.0</v>
      </c>
      <c r="G223" s="7">
        <v>18517.0</v>
      </c>
      <c r="H223" s="7">
        <v>288.86</v>
      </c>
      <c r="I223" s="7">
        <v>4860.0</v>
      </c>
      <c r="J223" s="7">
        <v>0.059</v>
      </c>
      <c r="K223" s="7">
        <v>3779.0</v>
      </c>
      <c r="L223" s="7">
        <v>578.23</v>
      </c>
      <c r="M223" s="7">
        <v>1189.0</v>
      </c>
      <c r="N223" s="7">
        <v>0.486</v>
      </c>
      <c r="O223" s="8">
        <v>1111.0</v>
      </c>
      <c r="P223" s="7">
        <v>661.27</v>
      </c>
      <c r="Q223" s="7">
        <v>683878.0</v>
      </c>
      <c r="R223" s="7">
        <v>0.97</v>
      </c>
      <c r="S223" s="7">
        <v>2001.0</v>
      </c>
      <c r="T223" s="7">
        <v>0.0</v>
      </c>
      <c r="U223" s="7">
        <v>0.0</v>
      </c>
      <c r="V223" s="7">
        <v>0.0</v>
      </c>
      <c r="W223" s="7">
        <v>68.0</v>
      </c>
      <c r="X223" s="7">
        <v>20.0</v>
      </c>
      <c r="Y223" s="7">
        <v>18067.0</v>
      </c>
      <c r="Z223" s="7">
        <v>1.11</v>
      </c>
      <c r="AA223" s="11">
        <v>51.0</v>
      </c>
      <c r="AB223" s="7"/>
      <c r="AC223" s="10"/>
      <c r="AD223" s="10"/>
    </row>
    <row r="224" ht="15.75" customHeight="1">
      <c r="A224" s="6">
        <v>44784.0</v>
      </c>
      <c r="B224" s="7">
        <f t="shared" si="1"/>
        <v>11</v>
      </c>
      <c r="C224" s="7">
        <f t="shared" si="2"/>
        <v>8</v>
      </c>
      <c r="D224" s="7">
        <v>1606.62</v>
      </c>
      <c r="E224" s="7">
        <v>11521.0</v>
      </c>
      <c r="F224" s="7">
        <v>6794.0</v>
      </c>
      <c r="G224" s="7">
        <v>18315.0</v>
      </c>
      <c r="H224" s="7">
        <v>308.48</v>
      </c>
      <c r="I224" s="7">
        <v>4770.0</v>
      </c>
      <c r="J224" s="7">
        <v>0.065</v>
      </c>
      <c r="K224" s="7">
        <v>3727.0</v>
      </c>
      <c r="L224" s="7">
        <v>624.59</v>
      </c>
      <c r="M224" s="7">
        <v>1320.0</v>
      </c>
      <c r="N224" s="7">
        <v>0.473</v>
      </c>
      <c r="O224" s="8">
        <v>1118.0</v>
      </c>
      <c r="P224" s="7">
        <v>653.55</v>
      </c>
      <c r="Q224" s="7">
        <v>682898.0</v>
      </c>
      <c r="R224" s="7">
        <v>0.96</v>
      </c>
      <c r="S224" s="7">
        <v>1967.0</v>
      </c>
      <c r="T224" s="7">
        <v>0.0</v>
      </c>
      <c r="U224" s="7">
        <v>0.0</v>
      </c>
      <c r="V224" s="7">
        <v>0.0</v>
      </c>
      <c r="W224" s="7">
        <v>40.0</v>
      </c>
      <c r="X224" s="7">
        <v>20.0</v>
      </c>
      <c r="Y224" s="7">
        <v>19642.0</v>
      </c>
      <c r="Z224" s="7">
        <v>1.02</v>
      </c>
      <c r="AA224" s="11">
        <v>43.0</v>
      </c>
      <c r="AB224" s="7"/>
      <c r="AC224" s="10"/>
      <c r="AD224" s="10"/>
    </row>
    <row r="225" ht="15.75" customHeight="1">
      <c r="A225" s="6">
        <v>44785.0</v>
      </c>
      <c r="B225" s="7">
        <f t="shared" si="1"/>
        <v>12</v>
      </c>
      <c r="C225" s="7">
        <f t="shared" si="2"/>
        <v>8</v>
      </c>
      <c r="D225" s="7">
        <v>2031.22</v>
      </c>
      <c r="E225" s="7">
        <v>10848.0</v>
      </c>
      <c r="F225" s="7">
        <v>6757.0</v>
      </c>
      <c r="G225" s="7">
        <v>17605.0</v>
      </c>
      <c r="H225" s="7">
        <v>293.31</v>
      </c>
      <c r="I225" s="7">
        <v>4458.0</v>
      </c>
      <c r="J225" s="7">
        <v>0.066</v>
      </c>
      <c r="K225" s="7">
        <v>3615.0</v>
      </c>
      <c r="L225" s="7">
        <v>1059.54</v>
      </c>
      <c r="M225" s="7">
        <v>1870.0</v>
      </c>
      <c r="N225" s="7">
        <v>0.567</v>
      </c>
      <c r="O225" s="8">
        <v>1427.0</v>
      </c>
      <c r="P225" s="7">
        <v>658.37</v>
      </c>
      <c r="Q225" s="7">
        <v>678520.0</v>
      </c>
      <c r="R225" s="7">
        <v>0.97</v>
      </c>
      <c r="S225" s="7">
        <v>1753.0</v>
      </c>
      <c r="T225" s="7">
        <v>0.0</v>
      </c>
      <c r="U225" s="7">
        <v>0.0</v>
      </c>
      <c r="V225" s="7">
        <v>0.0</v>
      </c>
      <c r="W225" s="7">
        <v>45.0</v>
      </c>
      <c r="X225" s="7">
        <v>20.0</v>
      </c>
      <c r="Y225" s="7">
        <v>20290.0</v>
      </c>
      <c r="Z225" s="7">
        <v>0.99</v>
      </c>
      <c r="AA225" s="11">
        <v>37.0</v>
      </c>
      <c r="AB225" s="7"/>
      <c r="AC225" s="10"/>
      <c r="AD225" s="10"/>
    </row>
    <row r="226" ht="15.75" customHeight="1">
      <c r="A226" s="6">
        <v>44786.0</v>
      </c>
      <c r="B226" s="7">
        <f t="shared" si="1"/>
        <v>13</v>
      </c>
      <c r="C226" s="7">
        <f t="shared" si="2"/>
        <v>8</v>
      </c>
      <c r="D226" s="7">
        <v>1875.97</v>
      </c>
      <c r="E226" s="7">
        <v>9308.0</v>
      </c>
      <c r="F226" s="7">
        <v>6033.0</v>
      </c>
      <c r="G226" s="7">
        <v>15341.0</v>
      </c>
      <c r="H226" s="7">
        <v>231.81</v>
      </c>
      <c r="I226" s="7">
        <v>3978.0</v>
      </c>
      <c r="J226" s="7">
        <v>0.058</v>
      </c>
      <c r="K226" s="7">
        <v>3072.0</v>
      </c>
      <c r="L226" s="7">
        <v>913.56</v>
      </c>
      <c r="M226" s="7">
        <v>1707.0</v>
      </c>
      <c r="N226" s="7">
        <v>0.535</v>
      </c>
      <c r="O226" s="8">
        <v>1221.0</v>
      </c>
      <c r="P226" s="7">
        <v>710.6</v>
      </c>
      <c r="Q226" s="7">
        <v>716987.0</v>
      </c>
      <c r="R226" s="7">
        <v>0.99</v>
      </c>
      <c r="S226" s="7">
        <v>1708.0</v>
      </c>
      <c r="T226" s="7">
        <v>0.0</v>
      </c>
      <c r="U226" s="7">
        <v>0.0</v>
      </c>
      <c r="V226" s="7">
        <v>0.0</v>
      </c>
      <c r="W226" s="7">
        <v>29.0</v>
      </c>
      <c r="X226" s="7">
        <v>20.0</v>
      </c>
      <c r="Y226" s="7">
        <v>16942.0</v>
      </c>
      <c r="Z226" s="7">
        <v>1.18</v>
      </c>
      <c r="AA226" s="11">
        <v>42.0</v>
      </c>
      <c r="AB226" s="7"/>
      <c r="AC226" s="10"/>
      <c r="AD226" s="10"/>
    </row>
    <row r="227" ht="15.75" customHeight="1">
      <c r="A227" s="6">
        <v>44787.0</v>
      </c>
      <c r="B227" s="7">
        <f t="shared" si="1"/>
        <v>14</v>
      </c>
      <c r="C227" s="7">
        <f t="shared" si="2"/>
        <v>8</v>
      </c>
      <c r="D227" s="7">
        <v>1607.0</v>
      </c>
      <c r="E227" s="7">
        <v>9743.0</v>
      </c>
      <c r="F227" s="7">
        <v>5945.0</v>
      </c>
      <c r="G227" s="7">
        <v>15688.0</v>
      </c>
      <c r="H227" s="7">
        <v>197.05</v>
      </c>
      <c r="I227" s="7">
        <v>4080.0</v>
      </c>
      <c r="J227" s="7">
        <v>0.048</v>
      </c>
      <c r="K227" s="7">
        <v>3034.0</v>
      </c>
      <c r="L227" s="7">
        <v>623.34</v>
      </c>
      <c r="M227" s="7">
        <v>1228.0</v>
      </c>
      <c r="N227" s="7">
        <v>0.508</v>
      </c>
      <c r="O227" s="8">
        <v>1006.0</v>
      </c>
      <c r="P227" s="7">
        <v>766.61</v>
      </c>
      <c r="Q227" s="7">
        <v>797578.0</v>
      </c>
      <c r="R227" s="7">
        <v>0.96</v>
      </c>
      <c r="S227" s="7">
        <v>1781.0</v>
      </c>
      <c r="T227" s="7">
        <v>0.0</v>
      </c>
      <c r="U227" s="7">
        <v>0.0</v>
      </c>
      <c r="V227" s="7">
        <v>0.0</v>
      </c>
      <c r="W227" s="7">
        <v>27.0</v>
      </c>
      <c r="X227" s="7">
        <v>20.0</v>
      </c>
      <c r="Y227" s="7">
        <v>23373.0</v>
      </c>
      <c r="Z227" s="7">
        <v>0.86</v>
      </c>
      <c r="AA227" s="11">
        <v>49.0</v>
      </c>
      <c r="AB227" s="7"/>
      <c r="AC227" s="10"/>
      <c r="AD227" s="10"/>
    </row>
    <row r="228" ht="15.75" customHeight="1">
      <c r="A228" s="6">
        <v>44788.0</v>
      </c>
      <c r="B228" s="7">
        <f t="shared" si="1"/>
        <v>15</v>
      </c>
      <c r="C228" s="7">
        <f t="shared" si="2"/>
        <v>8</v>
      </c>
      <c r="D228" s="7">
        <v>1575.51</v>
      </c>
      <c r="E228" s="7">
        <v>9144.0</v>
      </c>
      <c r="F228" s="7">
        <v>5931.0</v>
      </c>
      <c r="G228" s="7">
        <v>15075.0</v>
      </c>
      <c r="H228" s="7">
        <v>229.08</v>
      </c>
      <c r="I228" s="7">
        <v>4028.0</v>
      </c>
      <c r="J228" s="7">
        <v>0.057</v>
      </c>
      <c r="K228" s="7">
        <v>3120.0</v>
      </c>
      <c r="L228" s="7">
        <v>565.96</v>
      </c>
      <c r="M228" s="7">
        <v>1376.0</v>
      </c>
      <c r="N228" s="7">
        <v>0.411</v>
      </c>
      <c r="O228" s="8">
        <v>1109.0</v>
      </c>
      <c r="P228" s="7">
        <v>760.49</v>
      </c>
      <c r="Q228" s="7">
        <v>885722.0</v>
      </c>
      <c r="R228" s="7">
        <v>0.86</v>
      </c>
      <c r="S228" s="7">
        <v>1658.0</v>
      </c>
      <c r="T228" s="7">
        <v>0.0</v>
      </c>
      <c r="U228" s="7">
        <v>0.0</v>
      </c>
      <c r="V228" s="7">
        <v>0.0</v>
      </c>
      <c r="W228" s="7">
        <v>13.0</v>
      </c>
      <c r="X228" s="7">
        <v>19.98</v>
      </c>
      <c r="Y228" s="7">
        <v>19289.0</v>
      </c>
      <c r="Z228" s="7">
        <v>1.04</v>
      </c>
      <c r="AA228" s="11">
        <v>62.0</v>
      </c>
      <c r="AB228" s="7"/>
      <c r="AC228" s="10"/>
      <c r="AD228" s="10"/>
    </row>
    <row r="229" ht="15.75" customHeight="1">
      <c r="A229" s="6">
        <v>44789.0</v>
      </c>
      <c r="B229" s="7">
        <f t="shared" si="1"/>
        <v>16</v>
      </c>
      <c r="C229" s="7">
        <f t="shared" si="2"/>
        <v>8</v>
      </c>
      <c r="D229" s="7">
        <v>1639.42</v>
      </c>
      <c r="E229" s="7">
        <v>10914.0</v>
      </c>
      <c r="F229" s="7">
        <v>6914.0</v>
      </c>
      <c r="G229" s="7">
        <v>17828.0</v>
      </c>
      <c r="H229" s="7">
        <v>277.89</v>
      </c>
      <c r="I229" s="7">
        <v>4894.0</v>
      </c>
      <c r="J229" s="7">
        <v>0.057</v>
      </c>
      <c r="K229" s="7">
        <v>3858.0</v>
      </c>
      <c r="L229" s="7">
        <v>577.87</v>
      </c>
      <c r="M229" s="7">
        <v>1410.0</v>
      </c>
      <c r="N229" s="7">
        <v>0.41</v>
      </c>
      <c r="O229" s="8">
        <v>1297.0</v>
      </c>
      <c r="P229" s="7">
        <v>763.81</v>
      </c>
      <c r="Q229" s="7">
        <v>973046.0</v>
      </c>
      <c r="R229" s="7">
        <v>0.78</v>
      </c>
      <c r="S229" s="7">
        <v>1785.0</v>
      </c>
      <c r="T229" s="7">
        <v>0.0</v>
      </c>
      <c r="U229" s="7">
        <v>0.0</v>
      </c>
      <c r="V229" s="7">
        <v>0.0</v>
      </c>
      <c r="W229" s="7">
        <v>44.0</v>
      </c>
      <c r="X229" s="7">
        <v>19.85</v>
      </c>
      <c r="Y229" s="7">
        <v>18704.0</v>
      </c>
      <c r="Z229" s="7">
        <v>1.06</v>
      </c>
      <c r="AA229" s="11">
        <v>45.0</v>
      </c>
      <c r="AB229" s="7"/>
      <c r="AC229" s="10"/>
      <c r="AD229" s="10"/>
    </row>
    <row r="230" ht="15.75" customHeight="1">
      <c r="A230" s="6">
        <v>44790.0</v>
      </c>
      <c r="B230" s="7">
        <f t="shared" si="1"/>
        <v>17</v>
      </c>
      <c r="C230" s="7">
        <f t="shared" si="2"/>
        <v>8</v>
      </c>
      <c r="D230" s="7">
        <v>1492.61</v>
      </c>
      <c r="E230" s="7">
        <v>11723.0</v>
      </c>
      <c r="F230" s="7">
        <v>6641.0</v>
      </c>
      <c r="G230" s="7">
        <v>18364.0</v>
      </c>
      <c r="H230" s="7">
        <v>239.85</v>
      </c>
      <c r="I230" s="7">
        <v>4805.0</v>
      </c>
      <c r="J230" s="7">
        <v>0.05</v>
      </c>
      <c r="K230" s="7">
        <v>3781.0</v>
      </c>
      <c r="L230" s="7">
        <v>461.36</v>
      </c>
      <c r="M230" s="7">
        <v>1044.0</v>
      </c>
      <c r="N230" s="7">
        <v>0.442</v>
      </c>
      <c r="O230" s="8">
        <v>963.0</v>
      </c>
      <c r="P230" s="7">
        <v>771.42</v>
      </c>
      <c r="Q230" s="7">
        <v>862020.0</v>
      </c>
      <c r="R230" s="7">
        <v>0.89</v>
      </c>
      <c r="S230" s="7">
        <v>1999.0</v>
      </c>
      <c r="T230" s="7">
        <v>0.0</v>
      </c>
      <c r="U230" s="7">
        <v>0.0</v>
      </c>
      <c r="V230" s="7">
        <v>0.0</v>
      </c>
      <c r="W230" s="7">
        <v>45.0</v>
      </c>
      <c r="X230" s="7">
        <v>19.98</v>
      </c>
      <c r="Y230" s="7">
        <v>20081.0</v>
      </c>
      <c r="Z230" s="7">
        <v>0.99</v>
      </c>
      <c r="AA230" s="11">
        <v>43.0</v>
      </c>
      <c r="AB230" s="7"/>
      <c r="AC230" s="10"/>
      <c r="AD230" s="10"/>
    </row>
    <row r="231" ht="15.75" customHeight="1">
      <c r="A231" s="6">
        <v>44791.0</v>
      </c>
      <c r="B231" s="7">
        <f t="shared" si="1"/>
        <v>18</v>
      </c>
      <c r="C231" s="7">
        <f t="shared" si="2"/>
        <v>8</v>
      </c>
      <c r="D231" s="7">
        <v>423.26</v>
      </c>
      <c r="E231" s="7">
        <v>13418.0</v>
      </c>
      <c r="F231" s="7">
        <v>2396.0</v>
      </c>
      <c r="G231" s="7">
        <v>15814.0</v>
      </c>
      <c r="H231" s="7">
        <v>66.3</v>
      </c>
      <c r="I231" s="7">
        <v>1328.0</v>
      </c>
      <c r="J231" s="7">
        <v>0.05</v>
      </c>
      <c r="K231" s="7">
        <v>1252.0</v>
      </c>
      <c r="L231" s="7">
        <v>85.09</v>
      </c>
      <c r="M231" s="7">
        <v>182.0</v>
      </c>
      <c r="N231" s="7">
        <v>0.468</v>
      </c>
      <c r="O231" s="8">
        <v>404.0</v>
      </c>
      <c r="P231" s="7">
        <v>265.0</v>
      </c>
      <c r="Q231" s="7">
        <v>291415.0</v>
      </c>
      <c r="R231" s="7">
        <v>0.91</v>
      </c>
      <c r="S231" s="7">
        <v>822.0</v>
      </c>
      <c r="T231" s="7">
        <v>0.0</v>
      </c>
      <c r="U231" s="7">
        <v>0.0</v>
      </c>
      <c r="V231" s="7">
        <v>0.0</v>
      </c>
      <c r="W231" s="7">
        <v>35.0</v>
      </c>
      <c r="X231" s="7">
        <v>6.87</v>
      </c>
      <c r="Y231" s="7">
        <v>6042.0</v>
      </c>
      <c r="Z231" s="7">
        <v>1.14</v>
      </c>
      <c r="AA231" s="11">
        <v>17.0</v>
      </c>
      <c r="AB231" s="7"/>
      <c r="AC231" s="10"/>
      <c r="AD231" s="10"/>
    </row>
    <row r="232" ht="15.75" customHeight="1">
      <c r="A232" s="6">
        <v>44792.0</v>
      </c>
      <c r="B232" s="7">
        <f t="shared" si="1"/>
        <v>19</v>
      </c>
      <c r="C232" s="7">
        <f t="shared" si="2"/>
        <v>8</v>
      </c>
      <c r="D232" s="7">
        <v>1190.2</v>
      </c>
      <c r="E232" s="7">
        <v>12095.0</v>
      </c>
      <c r="F232" s="7">
        <v>4624.0</v>
      </c>
      <c r="G232" s="7">
        <v>16719.0</v>
      </c>
      <c r="H232" s="7">
        <v>159.13</v>
      </c>
      <c r="I232" s="7">
        <v>2859.0</v>
      </c>
      <c r="J232" s="7">
        <v>0.056</v>
      </c>
      <c r="K232" s="7">
        <v>2230.0</v>
      </c>
      <c r="L232" s="7">
        <v>298.79</v>
      </c>
      <c r="M232" s="7">
        <v>682.0</v>
      </c>
      <c r="N232" s="7">
        <v>0.438</v>
      </c>
      <c r="O232" s="8">
        <v>638.0</v>
      </c>
      <c r="P232" s="7">
        <v>712.28</v>
      </c>
      <c r="Q232" s="7">
        <v>845664.0</v>
      </c>
      <c r="R232" s="7">
        <v>0.84</v>
      </c>
      <c r="S232" s="7">
        <v>1846.0</v>
      </c>
      <c r="T232" s="7">
        <v>0.0</v>
      </c>
      <c r="U232" s="7">
        <v>0.0</v>
      </c>
      <c r="V232" s="7">
        <v>0.0</v>
      </c>
      <c r="W232" s="7">
        <v>54.0</v>
      </c>
      <c r="X232" s="7">
        <v>20.0</v>
      </c>
      <c r="Y232" s="7">
        <v>20318.0</v>
      </c>
      <c r="Z232" s="7">
        <v>0.98</v>
      </c>
      <c r="AA232" s="11">
        <v>56.0</v>
      </c>
      <c r="AB232" s="7"/>
      <c r="AC232" s="10"/>
      <c r="AD232" s="10"/>
    </row>
    <row r="233" ht="15.75" customHeight="1">
      <c r="A233" s="6">
        <v>44793.0</v>
      </c>
      <c r="B233" s="7">
        <f t="shared" si="1"/>
        <v>20</v>
      </c>
      <c r="C233" s="7">
        <f t="shared" si="2"/>
        <v>8</v>
      </c>
      <c r="D233" s="7">
        <v>1758.1</v>
      </c>
      <c r="E233" s="7">
        <v>9908.0</v>
      </c>
      <c r="F233" s="7">
        <v>6016.0</v>
      </c>
      <c r="G233" s="7">
        <v>15924.0</v>
      </c>
      <c r="H233" s="7">
        <v>228.36</v>
      </c>
      <c r="I233" s="7">
        <v>3971.0</v>
      </c>
      <c r="J233" s="7">
        <v>0.058</v>
      </c>
      <c r="K233" s="7">
        <v>3091.0</v>
      </c>
      <c r="L233" s="7">
        <v>801.64</v>
      </c>
      <c r="M233" s="7">
        <v>1481.0</v>
      </c>
      <c r="N233" s="7">
        <v>0.541</v>
      </c>
      <c r="O233" s="8">
        <v>1090.0</v>
      </c>
      <c r="P233" s="7">
        <v>708.1</v>
      </c>
      <c r="Q233" s="7">
        <v>764080.0</v>
      </c>
      <c r="R233" s="7">
        <v>0.93</v>
      </c>
      <c r="S233" s="7">
        <v>1880.0</v>
      </c>
      <c r="T233" s="7">
        <v>0.0</v>
      </c>
      <c r="U233" s="7">
        <v>0.0</v>
      </c>
      <c r="V233" s="7">
        <v>0.0</v>
      </c>
      <c r="W233" s="7">
        <v>39.0</v>
      </c>
      <c r="X233" s="7">
        <v>20.0</v>
      </c>
      <c r="Y233" s="7">
        <v>18157.0</v>
      </c>
      <c r="Z233" s="7">
        <v>1.1</v>
      </c>
      <c r="AA233" s="11">
        <v>44.0</v>
      </c>
      <c r="AB233" s="7"/>
      <c r="AC233" s="10"/>
      <c r="AD233" s="10"/>
    </row>
    <row r="234" ht="15.75" customHeight="1">
      <c r="A234" s="6">
        <v>44794.0</v>
      </c>
      <c r="B234" s="7">
        <f t="shared" si="1"/>
        <v>21</v>
      </c>
      <c r="C234" s="7">
        <f t="shared" si="2"/>
        <v>8</v>
      </c>
      <c r="D234" s="7">
        <v>1401.87</v>
      </c>
      <c r="E234" s="7">
        <v>10172.0</v>
      </c>
      <c r="F234" s="7">
        <v>5881.0</v>
      </c>
      <c r="G234" s="7">
        <v>16053.0</v>
      </c>
      <c r="H234" s="7">
        <v>241.86</v>
      </c>
      <c r="I234" s="7">
        <v>4378.0</v>
      </c>
      <c r="J234" s="7">
        <v>0.055</v>
      </c>
      <c r="K234" s="7">
        <v>3293.0</v>
      </c>
      <c r="L234" s="7">
        <v>469.0</v>
      </c>
      <c r="M234" s="7">
        <v>1033.0</v>
      </c>
      <c r="N234" s="7">
        <v>0.454</v>
      </c>
      <c r="O234" s="8">
        <v>865.0</v>
      </c>
      <c r="P234" s="7">
        <v>671.05</v>
      </c>
      <c r="Q234" s="7">
        <v>815072.0</v>
      </c>
      <c r="R234" s="7">
        <v>0.82</v>
      </c>
      <c r="S234" s="7">
        <v>1811.0</v>
      </c>
      <c r="T234" s="7">
        <v>0.0</v>
      </c>
      <c r="U234" s="7">
        <v>0.0</v>
      </c>
      <c r="V234" s="7">
        <v>0.0</v>
      </c>
      <c r="W234" s="7">
        <v>47.0</v>
      </c>
      <c r="X234" s="7">
        <v>19.96</v>
      </c>
      <c r="Y234" s="7">
        <v>24818.0</v>
      </c>
      <c r="Z234" s="7">
        <v>0.8</v>
      </c>
      <c r="AA234" s="11">
        <v>52.0</v>
      </c>
      <c r="AB234" s="7"/>
      <c r="AC234" s="10"/>
      <c r="AD234" s="10"/>
    </row>
    <row r="235" ht="15.75" customHeight="1">
      <c r="A235" s="6">
        <v>44795.0</v>
      </c>
      <c r="B235" s="7">
        <f t="shared" si="1"/>
        <v>22</v>
      </c>
      <c r="C235" s="7">
        <f t="shared" si="2"/>
        <v>8</v>
      </c>
      <c r="D235" s="7">
        <v>1786.97</v>
      </c>
      <c r="E235" s="7">
        <v>11973.0</v>
      </c>
      <c r="F235" s="7">
        <v>6745.0</v>
      </c>
      <c r="G235" s="7">
        <v>18718.0</v>
      </c>
      <c r="H235" s="7">
        <v>300.55</v>
      </c>
      <c r="I235" s="7">
        <v>4748.0</v>
      </c>
      <c r="J235" s="7">
        <v>0.063</v>
      </c>
      <c r="K235" s="7">
        <v>3608.0</v>
      </c>
      <c r="L235" s="7">
        <v>800.65</v>
      </c>
      <c r="M235" s="7">
        <v>1567.0</v>
      </c>
      <c r="N235" s="7">
        <v>0.511</v>
      </c>
      <c r="O235" s="8">
        <v>1424.0</v>
      </c>
      <c r="P235" s="7">
        <v>665.77</v>
      </c>
      <c r="Q235" s="7">
        <v>773433.0</v>
      </c>
      <c r="R235" s="7">
        <v>0.86</v>
      </c>
      <c r="S235" s="7">
        <v>1754.0</v>
      </c>
      <c r="T235" s="7">
        <v>0.0</v>
      </c>
      <c r="U235" s="7">
        <v>0.0</v>
      </c>
      <c r="V235" s="7">
        <v>0.0</v>
      </c>
      <c r="W235" s="7">
        <v>51.0</v>
      </c>
      <c r="X235" s="7">
        <v>20.0</v>
      </c>
      <c r="Y235" s="7">
        <v>20546.0</v>
      </c>
      <c r="Z235" s="7">
        <v>0.97</v>
      </c>
      <c r="AA235" s="11">
        <v>37.0</v>
      </c>
      <c r="AB235" s="7"/>
      <c r="AC235" s="10"/>
      <c r="AD235" s="10"/>
    </row>
    <row r="236" ht="15.75" customHeight="1">
      <c r="A236" s="6">
        <v>44796.0</v>
      </c>
      <c r="B236" s="7">
        <f t="shared" si="1"/>
        <v>23</v>
      </c>
      <c r="C236" s="7">
        <f t="shared" si="2"/>
        <v>8</v>
      </c>
      <c r="D236" s="7">
        <v>1928.49</v>
      </c>
      <c r="E236" s="7">
        <v>12507.0</v>
      </c>
      <c r="F236" s="7">
        <v>6987.0</v>
      </c>
      <c r="G236" s="7">
        <v>19494.0</v>
      </c>
      <c r="H236" s="7">
        <v>270.3</v>
      </c>
      <c r="I236" s="7">
        <v>4838.0</v>
      </c>
      <c r="J236" s="7">
        <v>0.056</v>
      </c>
      <c r="K236" s="7">
        <v>3556.0</v>
      </c>
      <c r="L236" s="7">
        <v>848.24</v>
      </c>
      <c r="M236" s="7">
        <v>1838.0</v>
      </c>
      <c r="N236" s="7">
        <v>0.462</v>
      </c>
      <c r="O236" s="8">
        <v>1638.0</v>
      </c>
      <c r="P236" s="7">
        <v>789.95</v>
      </c>
      <c r="Q236" s="7">
        <v>792318.0</v>
      </c>
      <c r="R236" s="7">
        <v>1.0</v>
      </c>
      <c r="S236" s="7">
        <v>1887.0</v>
      </c>
      <c r="T236" s="7">
        <v>0.0</v>
      </c>
      <c r="U236" s="7">
        <v>0.0</v>
      </c>
      <c r="V236" s="7">
        <v>0.0</v>
      </c>
      <c r="W236" s="7">
        <v>50.0</v>
      </c>
      <c r="X236" s="7">
        <v>20.0</v>
      </c>
      <c r="Y236" s="7">
        <v>18624.0</v>
      </c>
      <c r="Z236" s="7">
        <v>1.07</v>
      </c>
      <c r="AA236" s="11">
        <v>41.0</v>
      </c>
      <c r="AB236" s="7"/>
      <c r="AC236" s="10"/>
      <c r="AD236" s="10"/>
    </row>
    <row r="237" ht="15.75" customHeight="1">
      <c r="A237" s="6">
        <v>44797.0</v>
      </c>
      <c r="B237" s="7">
        <f t="shared" si="1"/>
        <v>24</v>
      </c>
      <c r="C237" s="7">
        <f t="shared" si="2"/>
        <v>8</v>
      </c>
      <c r="D237" s="7">
        <v>2144.78</v>
      </c>
      <c r="E237" s="7">
        <v>10571.0</v>
      </c>
      <c r="F237" s="7">
        <v>7472.0</v>
      </c>
      <c r="G237" s="7">
        <v>18043.0</v>
      </c>
      <c r="H237" s="7">
        <v>264.78</v>
      </c>
      <c r="I237" s="7">
        <v>4614.0</v>
      </c>
      <c r="J237" s="7">
        <v>0.057</v>
      </c>
      <c r="K237" s="7">
        <v>3495.0</v>
      </c>
      <c r="L237" s="7">
        <v>900.68</v>
      </c>
      <c r="M237" s="7">
        <v>1958.0</v>
      </c>
      <c r="N237" s="7">
        <v>0.46</v>
      </c>
      <c r="O237" s="8">
        <v>1726.0</v>
      </c>
      <c r="P237" s="7">
        <v>959.36</v>
      </c>
      <c r="Q237" s="7">
        <v>970991.0</v>
      </c>
      <c r="R237" s="7">
        <v>0.99</v>
      </c>
      <c r="S237" s="7">
        <v>2289.0</v>
      </c>
      <c r="T237" s="7">
        <v>0.0</v>
      </c>
      <c r="U237" s="7">
        <v>0.0</v>
      </c>
      <c r="V237" s="7">
        <v>0.0</v>
      </c>
      <c r="W237" s="7">
        <v>67.0</v>
      </c>
      <c r="X237" s="7">
        <v>19.96</v>
      </c>
      <c r="Y237" s="7">
        <v>19386.0</v>
      </c>
      <c r="Z237" s="7">
        <v>1.03</v>
      </c>
      <c r="AA237" s="11">
        <v>30.0</v>
      </c>
      <c r="AB237" s="7"/>
      <c r="AC237" s="10"/>
      <c r="AD237" s="10"/>
    </row>
    <row r="238" ht="15.75" customHeight="1">
      <c r="A238" s="6">
        <v>44798.0</v>
      </c>
      <c r="B238" s="7">
        <f t="shared" si="1"/>
        <v>25</v>
      </c>
      <c r="C238" s="7">
        <f t="shared" si="2"/>
        <v>8</v>
      </c>
      <c r="D238" s="7">
        <v>2244.13</v>
      </c>
      <c r="E238" s="7">
        <v>11222.0</v>
      </c>
      <c r="F238" s="7">
        <v>7840.0</v>
      </c>
      <c r="G238" s="7">
        <v>19062.0</v>
      </c>
      <c r="H238" s="7">
        <v>269.86</v>
      </c>
      <c r="I238" s="7">
        <v>4493.0</v>
      </c>
      <c r="J238" s="7">
        <v>0.06</v>
      </c>
      <c r="K238" s="7">
        <v>3529.0</v>
      </c>
      <c r="L238" s="7">
        <v>942.95</v>
      </c>
      <c r="M238" s="7">
        <v>2091.0</v>
      </c>
      <c r="N238" s="7">
        <v>0.451</v>
      </c>
      <c r="O238" s="8">
        <v>1857.0</v>
      </c>
      <c r="P238" s="7">
        <v>1011.32</v>
      </c>
      <c r="Q238" s="7">
        <v>1085458.0</v>
      </c>
      <c r="R238" s="7">
        <v>0.93</v>
      </c>
      <c r="S238" s="7">
        <v>2516.0</v>
      </c>
      <c r="T238" s="7">
        <v>0.0</v>
      </c>
      <c r="U238" s="7">
        <v>0.0</v>
      </c>
      <c r="V238" s="7">
        <v>0.0</v>
      </c>
      <c r="W238" s="7">
        <v>45.0</v>
      </c>
      <c r="X238" s="7">
        <v>20.0</v>
      </c>
      <c r="Y238" s="7">
        <v>21933.0</v>
      </c>
      <c r="Z238" s="7">
        <v>0.91</v>
      </c>
      <c r="AA238" s="11">
        <v>37.0</v>
      </c>
      <c r="AB238" s="7"/>
      <c r="AC238" s="10"/>
      <c r="AD238" s="10"/>
    </row>
    <row r="239" ht="15.75" customHeight="1">
      <c r="A239" s="6">
        <v>44799.0</v>
      </c>
      <c r="B239" s="7">
        <f t="shared" si="1"/>
        <v>26</v>
      </c>
      <c r="C239" s="7">
        <f t="shared" si="2"/>
        <v>8</v>
      </c>
      <c r="D239" s="7">
        <v>2186.68</v>
      </c>
      <c r="E239" s="7">
        <v>11197.0</v>
      </c>
      <c r="F239" s="7">
        <v>7941.0</v>
      </c>
      <c r="G239" s="7">
        <v>19138.0</v>
      </c>
      <c r="H239" s="7">
        <v>243.42</v>
      </c>
      <c r="I239" s="7">
        <v>3865.0</v>
      </c>
      <c r="J239" s="7">
        <v>0.063</v>
      </c>
      <c r="K239" s="7">
        <v>3162.0</v>
      </c>
      <c r="L239" s="7">
        <v>937.2</v>
      </c>
      <c r="M239" s="7">
        <v>2013.0</v>
      </c>
      <c r="N239" s="7">
        <v>0.466</v>
      </c>
      <c r="O239" s="8">
        <v>1759.0</v>
      </c>
      <c r="P239" s="7">
        <v>986.11</v>
      </c>
      <c r="Q239" s="7">
        <v>1060810.0</v>
      </c>
      <c r="R239" s="7">
        <v>0.93</v>
      </c>
      <c r="S239" s="7">
        <v>2963.0</v>
      </c>
      <c r="T239" s="7">
        <v>0.0</v>
      </c>
      <c r="U239" s="7">
        <v>0.0</v>
      </c>
      <c r="V239" s="7">
        <v>0.0</v>
      </c>
      <c r="W239" s="7">
        <v>50.0</v>
      </c>
      <c r="X239" s="7">
        <v>19.95</v>
      </c>
      <c r="Y239" s="7">
        <v>26904.0</v>
      </c>
      <c r="Z239" s="7">
        <v>0.74</v>
      </c>
      <c r="AA239" s="11">
        <v>37.0</v>
      </c>
      <c r="AB239" s="7"/>
      <c r="AC239" s="10"/>
      <c r="AD239" s="10"/>
    </row>
    <row r="240" ht="15.75" customHeight="1">
      <c r="A240" s="6">
        <v>44800.0</v>
      </c>
      <c r="B240" s="7">
        <f t="shared" si="1"/>
        <v>27</v>
      </c>
      <c r="C240" s="7">
        <f t="shared" si="2"/>
        <v>8</v>
      </c>
      <c r="D240" s="7">
        <v>2147.81</v>
      </c>
      <c r="E240" s="7">
        <v>9428.0</v>
      </c>
      <c r="F240" s="7">
        <v>7085.0</v>
      </c>
      <c r="G240" s="7">
        <v>16513.0</v>
      </c>
      <c r="H240" s="7">
        <v>203.3</v>
      </c>
      <c r="I240" s="7">
        <v>3449.0</v>
      </c>
      <c r="J240" s="7">
        <v>0.059</v>
      </c>
      <c r="K240" s="7">
        <v>2560.0</v>
      </c>
      <c r="L240" s="7">
        <v>940.7</v>
      </c>
      <c r="M240" s="7">
        <v>2101.0</v>
      </c>
      <c r="N240" s="7">
        <v>0.448</v>
      </c>
      <c r="O240" s="8">
        <v>1677.0</v>
      </c>
      <c r="P240" s="7">
        <v>983.82</v>
      </c>
      <c r="Q240" s="7">
        <v>1026360.0</v>
      </c>
      <c r="R240" s="7">
        <v>0.96</v>
      </c>
      <c r="S240" s="7">
        <v>2865.0</v>
      </c>
      <c r="T240" s="7">
        <v>0.0</v>
      </c>
      <c r="U240" s="7">
        <v>0.0</v>
      </c>
      <c r="V240" s="7">
        <v>0.0</v>
      </c>
      <c r="W240" s="7">
        <v>28.0</v>
      </c>
      <c r="X240" s="7">
        <v>19.99</v>
      </c>
      <c r="Y240" s="7">
        <v>18663.0</v>
      </c>
      <c r="Z240" s="7">
        <v>1.07</v>
      </c>
      <c r="AA240" s="11">
        <v>38.0</v>
      </c>
      <c r="AB240" s="7"/>
      <c r="AC240" s="10"/>
      <c r="AD240" s="10"/>
    </row>
    <row r="241" ht="15.75" customHeight="1">
      <c r="A241" s="6">
        <v>44801.0</v>
      </c>
      <c r="B241" s="7">
        <f t="shared" si="1"/>
        <v>28</v>
      </c>
      <c r="C241" s="7">
        <f t="shared" si="2"/>
        <v>8</v>
      </c>
      <c r="D241" s="7">
        <v>2395.03</v>
      </c>
      <c r="E241" s="7">
        <v>10718.0</v>
      </c>
      <c r="F241" s="7">
        <v>6884.0</v>
      </c>
      <c r="G241" s="7">
        <v>17602.0</v>
      </c>
      <c r="H241" s="7">
        <v>189.79</v>
      </c>
      <c r="I241" s="7">
        <v>3884.0</v>
      </c>
      <c r="J241" s="7">
        <v>0.049</v>
      </c>
      <c r="K241" s="7">
        <v>2419.0</v>
      </c>
      <c r="L241" s="7">
        <v>1083.06</v>
      </c>
      <c r="M241" s="7">
        <v>2268.0</v>
      </c>
      <c r="N241" s="7">
        <v>0.478</v>
      </c>
      <c r="O241" s="8">
        <v>1589.0</v>
      </c>
      <c r="P241" s="7">
        <v>1102.18</v>
      </c>
      <c r="Q241" s="7">
        <v>1247606.0</v>
      </c>
      <c r="R241" s="7">
        <v>0.88</v>
      </c>
      <c r="S241" s="7">
        <v>2805.0</v>
      </c>
      <c r="T241" s="7">
        <v>0.0</v>
      </c>
      <c r="U241" s="7">
        <v>0.0</v>
      </c>
      <c r="V241" s="7">
        <v>0.0</v>
      </c>
      <c r="W241" s="7">
        <v>50.0</v>
      </c>
      <c r="X241" s="7">
        <v>20.0</v>
      </c>
      <c r="Y241" s="7">
        <v>19589.0</v>
      </c>
      <c r="Z241" s="7">
        <v>1.02</v>
      </c>
      <c r="AA241" s="11">
        <v>37.0</v>
      </c>
      <c r="AB241" s="7"/>
      <c r="AC241" s="10"/>
      <c r="AD241" s="10"/>
    </row>
    <row r="242" ht="15.75" customHeight="1">
      <c r="A242" s="6">
        <v>44802.0</v>
      </c>
      <c r="B242" s="7">
        <f t="shared" si="1"/>
        <v>29</v>
      </c>
      <c r="C242" s="7">
        <f t="shared" si="2"/>
        <v>8</v>
      </c>
      <c r="D242" s="7">
        <v>2508.37</v>
      </c>
      <c r="E242" s="7">
        <v>10384.0</v>
      </c>
      <c r="F242" s="7">
        <v>7952.0</v>
      </c>
      <c r="G242" s="7">
        <v>18336.0</v>
      </c>
      <c r="H242" s="7">
        <v>321.8</v>
      </c>
      <c r="I242" s="7">
        <v>4334.0</v>
      </c>
      <c r="J242" s="7">
        <v>0.074</v>
      </c>
      <c r="K242" s="7">
        <v>3478.0</v>
      </c>
      <c r="L242" s="7">
        <v>1250.76</v>
      </c>
      <c r="M242" s="7">
        <v>2297.0</v>
      </c>
      <c r="N242" s="7">
        <v>0.545</v>
      </c>
      <c r="O242" s="8">
        <v>1970.0</v>
      </c>
      <c r="P242" s="7">
        <v>915.81</v>
      </c>
      <c r="Q242" s="7">
        <v>1040293.0</v>
      </c>
      <c r="R242" s="7">
        <v>0.88</v>
      </c>
      <c r="S242" s="7">
        <v>2407.0</v>
      </c>
      <c r="T242" s="7">
        <v>0.0</v>
      </c>
      <c r="U242" s="7">
        <v>0.0</v>
      </c>
      <c r="V242" s="7">
        <v>0.0</v>
      </c>
      <c r="W242" s="7">
        <v>53.0</v>
      </c>
      <c r="X242" s="7">
        <v>20.0</v>
      </c>
      <c r="Y242" s="7">
        <v>20098.0</v>
      </c>
      <c r="Z242" s="7">
        <v>1.0</v>
      </c>
      <c r="AA242" s="11">
        <v>36.0</v>
      </c>
      <c r="AB242" s="7"/>
      <c r="AC242" s="10"/>
      <c r="AD242" s="10"/>
    </row>
    <row r="243" ht="15.75" customHeight="1">
      <c r="A243" s="6">
        <v>44803.0</v>
      </c>
      <c r="B243" s="7">
        <f t="shared" si="1"/>
        <v>30</v>
      </c>
      <c r="C243" s="7">
        <f t="shared" si="2"/>
        <v>8</v>
      </c>
      <c r="D243" s="7">
        <v>2553.28</v>
      </c>
      <c r="E243" s="7">
        <v>9741.0</v>
      </c>
      <c r="F243" s="7">
        <v>7723.0</v>
      </c>
      <c r="G243" s="7">
        <v>17464.0</v>
      </c>
      <c r="H243" s="7">
        <v>268.55</v>
      </c>
      <c r="I243" s="7">
        <v>3939.0</v>
      </c>
      <c r="J243" s="7">
        <v>0.068</v>
      </c>
      <c r="K243" s="7">
        <v>3176.0</v>
      </c>
      <c r="L243" s="7">
        <v>1100.2</v>
      </c>
      <c r="M243" s="7">
        <v>2139.0</v>
      </c>
      <c r="N243" s="7">
        <v>0.514</v>
      </c>
      <c r="O243" s="8">
        <v>1896.0</v>
      </c>
      <c r="P243" s="7">
        <v>1164.53</v>
      </c>
      <c r="Q243" s="7">
        <v>1120368.0</v>
      </c>
      <c r="R243" s="7">
        <v>1.04</v>
      </c>
      <c r="S243" s="7">
        <v>2753.0</v>
      </c>
      <c r="T243" s="7">
        <v>0.0</v>
      </c>
      <c r="U243" s="7">
        <v>0.0</v>
      </c>
      <c r="V243" s="7">
        <v>0.0</v>
      </c>
      <c r="W243" s="7">
        <v>53.0</v>
      </c>
      <c r="X243" s="7">
        <v>20.0</v>
      </c>
      <c r="Y243" s="7">
        <v>18616.0</v>
      </c>
      <c r="Z243" s="7">
        <v>1.07</v>
      </c>
      <c r="AA243" s="11">
        <v>49.0</v>
      </c>
      <c r="AB243" s="7"/>
      <c r="AC243" s="10"/>
      <c r="AD243" s="10"/>
    </row>
    <row r="244" ht="15.75" customHeight="1">
      <c r="A244" s="6">
        <v>44804.0</v>
      </c>
      <c r="B244" s="7">
        <f t="shared" si="1"/>
        <v>31</v>
      </c>
      <c r="C244" s="7">
        <f t="shared" si="2"/>
        <v>8</v>
      </c>
      <c r="D244" s="7">
        <v>2460.53</v>
      </c>
      <c r="E244" s="7">
        <v>9089.0</v>
      </c>
      <c r="F244" s="7">
        <v>8093.0</v>
      </c>
      <c r="G244" s="7">
        <v>17182.0</v>
      </c>
      <c r="H244" s="7">
        <v>251.36</v>
      </c>
      <c r="I244" s="7">
        <v>3782.0</v>
      </c>
      <c r="J244" s="7">
        <v>0.066</v>
      </c>
      <c r="K244" s="7">
        <v>2994.0</v>
      </c>
      <c r="L244" s="7">
        <v>1012.28</v>
      </c>
      <c r="M244" s="7">
        <v>1964.0</v>
      </c>
      <c r="N244" s="7">
        <v>0.515</v>
      </c>
      <c r="O244" s="8">
        <v>1819.0</v>
      </c>
      <c r="P244" s="7">
        <v>1176.89</v>
      </c>
      <c r="Q244" s="7">
        <v>1041361.0</v>
      </c>
      <c r="R244" s="7">
        <v>1.13</v>
      </c>
      <c r="S244" s="7">
        <v>3359.0</v>
      </c>
      <c r="T244" s="7">
        <v>0.0</v>
      </c>
      <c r="U244" s="7">
        <v>0.0</v>
      </c>
      <c r="V244" s="7">
        <v>0.0</v>
      </c>
      <c r="W244" s="7">
        <v>61.0</v>
      </c>
      <c r="X244" s="7">
        <v>20.0</v>
      </c>
      <c r="Y244" s="7">
        <v>17040.0</v>
      </c>
      <c r="Z244" s="7">
        <v>1.17</v>
      </c>
      <c r="AA244" s="11">
        <v>26.0</v>
      </c>
      <c r="AB244" s="7"/>
      <c r="AC244" s="10"/>
      <c r="AD244" s="10"/>
    </row>
    <row r="245" ht="15.75" customHeight="1">
      <c r="A245" s="6">
        <v>44805.0</v>
      </c>
      <c r="B245" s="7">
        <f t="shared" si="1"/>
        <v>1</v>
      </c>
      <c r="C245" s="7">
        <f t="shared" si="2"/>
        <v>9</v>
      </c>
      <c r="D245" s="7">
        <v>3153.53</v>
      </c>
      <c r="E245" s="7">
        <v>10206.0</v>
      </c>
      <c r="F245" s="7">
        <v>9134.0</v>
      </c>
      <c r="G245" s="7">
        <v>19340.0</v>
      </c>
      <c r="H245" s="7">
        <v>253.52</v>
      </c>
      <c r="I245" s="7">
        <v>3780.0</v>
      </c>
      <c r="J245" s="7">
        <v>0.067</v>
      </c>
      <c r="K245" s="7">
        <v>2947.0</v>
      </c>
      <c r="L245" s="7">
        <v>1259.69</v>
      </c>
      <c r="M245" s="7">
        <v>2175.0</v>
      </c>
      <c r="N245" s="7">
        <v>0.579</v>
      </c>
      <c r="O245" s="8">
        <v>1745.0</v>
      </c>
      <c r="P245" s="7">
        <v>1612.04</v>
      </c>
      <c r="Q245" s="7">
        <v>1518662.0</v>
      </c>
      <c r="R245" s="7">
        <v>1.06</v>
      </c>
      <c r="S245" s="7">
        <v>4520.0</v>
      </c>
      <c r="T245" s="7">
        <v>0.0</v>
      </c>
      <c r="U245" s="7">
        <v>0.0</v>
      </c>
      <c r="V245" s="7">
        <v>0.0</v>
      </c>
      <c r="W245" s="7">
        <v>61.0</v>
      </c>
      <c r="X245" s="7">
        <v>28.28</v>
      </c>
      <c r="Y245" s="7">
        <v>11733.0</v>
      </c>
      <c r="Z245" s="7">
        <v>2.41</v>
      </c>
      <c r="AA245" s="11">
        <v>16.0</v>
      </c>
      <c r="AB245" s="7"/>
      <c r="AC245" s="10"/>
      <c r="AD245" s="10"/>
    </row>
    <row r="246" ht="15.75" customHeight="1">
      <c r="A246" s="6">
        <v>44806.0</v>
      </c>
      <c r="B246" s="7">
        <f t="shared" si="1"/>
        <v>2</v>
      </c>
      <c r="C246" s="7">
        <f t="shared" si="2"/>
        <v>9</v>
      </c>
      <c r="D246" s="7">
        <v>2880.62</v>
      </c>
      <c r="E246" s="7">
        <v>10039.0</v>
      </c>
      <c r="F246" s="7">
        <v>7336.0</v>
      </c>
      <c r="G246" s="7">
        <v>17375.0</v>
      </c>
      <c r="H246" s="7">
        <v>207.68</v>
      </c>
      <c r="I246" s="7">
        <v>3262.0</v>
      </c>
      <c r="J246" s="7">
        <v>0.064</v>
      </c>
      <c r="K246" s="7">
        <v>2207.0</v>
      </c>
      <c r="L246" s="7">
        <v>1219.22</v>
      </c>
      <c r="M246" s="7">
        <v>2088.0</v>
      </c>
      <c r="N246" s="7">
        <v>0.584</v>
      </c>
      <c r="O246" s="8">
        <v>1522.0</v>
      </c>
      <c r="P246" s="7">
        <v>1433.72</v>
      </c>
      <c r="Q246" s="7">
        <v>1198444.0</v>
      </c>
      <c r="R246" s="7">
        <v>1.2</v>
      </c>
      <c r="S246" s="7">
        <v>3481.0</v>
      </c>
      <c r="T246" s="7">
        <v>0.0</v>
      </c>
      <c r="U246" s="7">
        <v>0.0</v>
      </c>
      <c r="V246" s="7">
        <v>0.0</v>
      </c>
      <c r="W246" s="7">
        <v>49.0</v>
      </c>
      <c r="X246" s="7">
        <v>20.0</v>
      </c>
      <c r="Y246" s="7">
        <v>5340.0</v>
      </c>
      <c r="Z246" s="7">
        <v>3.75</v>
      </c>
      <c r="AA246" s="11">
        <v>0.0</v>
      </c>
      <c r="AB246" s="7"/>
      <c r="AC246" s="10"/>
      <c r="AD246" s="10"/>
    </row>
    <row r="247" ht="15.75" customHeight="1">
      <c r="A247" s="6">
        <v>44807.0</v>
      </c>
      <c r="B247" s="7">
        <f t="shared" si="1"/>
        <v>3</v>
      </c>
      <c r="C247" s="7">
        <f t="shared" si="2"/>
        <v>9</v>
      </c>
      <c r="D247" s="7">
        <v>3059.83</v>
      </c>
      <c r="E247" s="7">
        <v>8075.0</v>
      </c>
      <c r="F247" s="7">
        <v>8510.0</v>
      </c>
      <c r="G247" s="7">
        <v>16585.0</v>
      </c>
      <c r="H247" s="7">
        <v>165.34</v>
      </c>
      <c r="I247" s="7">
        <v>2931.0</v>
      </c>
      <c r="J247" s="7">
        <v>0.056</v>
      </c>
      <c r="K247" s="7">
        <v>2250.0</v>
      </c>
      <c r="L247" s="7">
        <v>1335.0</v>
      </c>
      <c r="M247" s="7">
        <v>2372.0</v>
      </c>
      <c r="N247" s="7">
        <v>0.563</v>
      </c>
      <c r="O247" s="8">
        <v>1795.0</v>
      </c>
      <c r="P247" s="7">
        <v>1539.49</v>
      </c>
      <c r="Q247" s="7">
        <v>1268377.0</v>
      </c>
      <c r="R247" s="7">
        <v>1.21</v>
      </c>
      <c r="S247" s="7">
        <v>4455.0</v>
      </c>
      <c r="T247" s="7">
        <v>0.0</v>
      </c>
      <c r="U247" s="7">
        <v>0.0</v>
      </c>
      <c r="V247" s="7">
        <v>0.0</v>
      </c>
      <c r="W247" s="7">
        <v>32.0</v>
      </c>
      <c r="X247" s="7">
        <v>20.0</v>
      </c>
      <c r="Y247" s="7">
        <v>4851.0</v>
      </c>
      <c r="Z247" s="7">
        <v>4.12</v>
      </c>
      <c r="AA247" s="11">
        <v>0.0</v>
      </c>
      <c r="AB247" s="7"/>
      <c r="AC247" s="10"/>
      <c r="AD247" s="10"/>
    </row>
    <row r="248" ht="15.75" customHeight="1">
      <c r="A248" s="6">
        <v>44808.0</v>
      </c>
      <c r="B248" s="7">
        <f t="shared" si="1"/>
        <v>4</v>
      </c>
      <c r="C248" s="7">
        <f t="shared" si="2"/>
        <v>9</v>
      </c>
      <c r="D248" s="7">
        <v>3777.31</v>
      </c>
      <c r="E248" s="7">
        <v>8957.0</v>
      </c>
      <c r="F248" s="7">
        <v>9971.0</v>
      </c>
      <c r="G248" s="7">
        <v>18928.0</v>
      </c>
      <c r="H248" s="7">
        <v>174.09</v>
      </c>
      <c r="I248" s="7">
        <v>3343.0</v>
      </c>
      <c r="J248" s="7">
        <v>0.052</v>
      </c>
      <c r="K248" s="7">
        <v>2422.0</v>
      </c>
      <c r="L248" s="7">
        <v>1664.73</v>
      </c>
      <c r="M248" s="7">
        <v>3074.0</v>
      </c>
      <c r="N248" s="7">
        <v>0.542</v>
      </c>
      <c r="O248" s="8">
        <v>2310.0</v>
      </c>
      <c r="P248" s="7">
        <v>1918.49</v>
      </c>
      <c r="Q248" s="7">
        <v>1796913.0</v>
      </c>
      <c r="R248" s="7">
        <v>1.07</v>
      </c>
      <c r="S248" s="7">
        <v>5369.0</v>
      </c>
      <c r="T248" s="7">
        <v>0.0</v>
      </c>
      <c r="U248" s="7">
        <v>0.0</v>
      </c>
      <c r="V248" s="7">
        <v>0.0</v>
      </c>
      <c r="W248" s="7">
        <v>40.0</v>
      </c>
      <c r="X248" s="7">
        <v>20.0</v>
      </c>
      <c r="Y248" s="7">
        <v>5669.0</v>
      </c>
      <c r="Z248" s="7">
        <v>3.53</v>
      </c>
      <c r="AA248" s="11">
        <v>0.0</v>
      </c>
      <c r="AB248" s="7"/>
      <c r="AC248" s="10"/>
      <c r="AD248" s="10"/>
    </row>
    <row r="249" ht="15.75" customHeight="1">
      <c r="A249" s="6">
        <v>44809.0</v>
      </c>
      <c r="B249" s="7">
        <f t="shared" si="1"/>
        <v>5</v>
      </c>
      <c r="C249" s="7">
        <f t="shared" si="2"/>
        <v>9</v>
      </c>
      <c r="D249" s="7">
        <v>4487.42</v>
      </c>
      <c r="E249" s="7">
        <v>9835.0</v>
      </c>
      <c r="F249" s="7">
        <v>10844.0</v>
      </c>
      <c r="G249" s="7">
        <v>20679.0</v>
      </c>
      <c r="H249" s="7">
        <v>223.08</v>
      </c>
      <c r="I249" s="7">
        <v>3537.0</v>
      </c>
      <c r="J249" s="7">
        <v>0.063</v>
      </c>
      <c r="K249" s="7">
        <v>2805.0</v>
      </c>
      <c r="L249" s="7">
        <v>1869.69</v>
      </c>
      <c r="M249" s="7">
        <v>2877.0</v>
      </c>
      <c r="N249" s="7">
        <v>0.65</v>
      </c>
      <c r="O249" s="8">
        <v>2453.0</v>
      </c>
      <c r="P249" s="7">
        <v>2368.65</v>
      </c>
      <c r="Q249" s="7">
        <v>2231795.0</v>
      </c>
      <c r="R249" s="7">
        <v>1.06</v>
      </c>
      <c r="S249" s="7">
        <v>5607.0</v>
      </c>
      <c r="T249" s="7">
        <v>0.0</v>
      </c>
      <c r="U249" s="7">
        <v>0.0</v>
      </c>
      <c r="V249" s="7">
        <v>0.0</v>
      </c>
      <c r="W249" s="7">
        <v>77.0</v>
      </c>
      <c r="X249" s="7">
        <v>26.0</v>
      </c>
      <c r="Y249" s="7">
        <v>13689.0</v>
      </c>
      <c r="Z249" s="7">
        <v>1.9</v>
      </c>
      <c r="AA249" s="11">
        <v>29.0</v>
      </c>
      <c r="AB249" s="7"/>
      <c r="AC249" s="10"/>
      <c r="AD249" s="10"/>
    </row>
    <row r="250" ht="15.75" customHeight="1">
      <c r="A250" s="6">
        <v>44810.0</v>
      </c>
      <c r="B250" s="7">
        <f t="shared" si="1"/>
        <v>6</v>
      </c>
      <c r="C250" s="7">
        <f t="shared" si="2"/>
        <v>9</v>
      </c>
      <c r="D250" s="7">
        <v>4523.44</v>
      </c>
      <c r="E250" s="7">
        <v>9132.0</v>
      </c>
      <c r="F250" s="7">
        <v>10466.0</v>
      </c>
      <c r="G250" s="7">
        <v>19598.0</v>
      </c>
      <c r="H250" s="7">
        <v>211.06</v>
      </c>
      <c r="I250" s="7">
        <v>3461.0</v>
      </c>
      <c r="J250" s="7">
        <v>0.061</v>
      </c>
      <c r="K250" s="7">
        <v>2798.0</v>
      </c>
      <c r="L250" s="7">
        <v>1881.63</v>
      </c>
      <c r="M250" s="7">
        <v>2858.0</v>
      </c>
      <c r="N250" s="7">
        <v>0.658</v>
      </c>
      <c r="O250" s="8">
        <v>2394.0</v>
      </c>
      <c r="P250" s="7">
        <v>2390.88</v>
      </c>
      <c r="Q250" s="7">
        <v>1979383.0</v>
      </c>
      <c r="R250" s="7">
        <v>1.21</v>
      </c>
      <c r="S250" s="7">
        <v>5036.0</v>
      </c>
      <c r="T250" s="7">
        <v>0.0</v>
      </c>
      <c r="U250" s="7">
        <v>0.0</v>
      </c>
      <c r="V250" s="7">
        <v>0.0</v>
      </c>
      <c r="W250" s="7">
        <v>54.0</v>
      </c>
      <c r="X250" s="7">
        <v>39.87</v>
      </c>
      <c r="Y250" s="7">
        <v>19892.0</v>
      </c>
      <c r="Z250" s="7">
        <v>2.0</v>
      </c>
      <c r="AA250" s="11">
        <v>75.0</v>
      </c>
      <c r="AB250" s="7"/>
      <c r="AC250" s="10"/>
      <c r="AD250" s="10"/>
    </row>
    <row r="251" ht="15.75" customHeight="1">
      <c r="A251" s="6">
        <v>44811.0</v>
      </c>
      <c r="B251" s="7">
        <f t="shared" si="1"/>
        <v>7</v>
      </c>
      <c r="C251" s="7">
        <f t="shared" si="2"/>
        <v>9</v>
      </c>
      <c r="D251" s="7">
        <v>4830.53</v>
      </c>
      <c r="E251" s="7">
        <v>8121.0</v>
      </c>
      <c r="F251" s="7">
        <v>9507.0</v>
      </c>
      <c r="G251" s="7">
        <v>17628.0</v>
      </c>
      <c r="H251" s="7">
        <v>218.52</v>
      </c>
      <c r="I251" s="7">
        <v>3096.0</v>
      </c>
      <c r="J251" s="7">
        <v>0.071</v>
      </c>
      <c r="K251" s="7">
        <v>2512.0</v>
      </c>
      <c r="L251" s="7">
        <v>1927.5</v>
      </c>
      <c r="M251" s="7">
        <v>2747.0</v>
      </c>
      <c r="N251" s="7">
        <v>0.702</v>
      </c>
      <c r="O251" s="8">
        <v>2359.0</v>
      </c>
      <c r="P251" s="7">
        <v>2644.51</v>
      </c>
      <c r="Q251" s="7">
        <v>2055793.0</v>
      </c>
      <c r="R251" s="7">
        <v>1.29</v>
      </c>
      <c r="S251" s="7">
        <v>4610.0</v>
      </c>
      <c r="T251" s="7">
        <v>0.0</v>
      </c>
      <c r="U251" s="7">
        <v>0.0</v>
      </c>
      <c r="V251" s="7">
        <v>0.0</v>
      </c>
      <c r="W251" s="7">
        <v>66.0</v>
      </c>
      <c r="X251" s="7">
        <v>40.0</v>
      </c>
      <c r="Y251" s="7">
        <v>20415.0</v>
      </c>
      <c r="Z251" s="7">
        <v>1.96</v>
      </c>
      <c r="AA251" s="11">
        <v>65.0</v>
      </c>
      <c r="AB251" s="7"/>
      <c r="AC251" s="10"/>
      <c r="AD251" s="10"/>
    </row>
    <row r="252" ht="15.75" customHeight="1">
      <c r="A252" s="6">
        <v>44812.0</v>
      </c>
      <c r="B252" s="7">
        <f t="shared" si="1"/>
        <v>8</v>
      </c>
      <c r="C252" s="7">
        <f t="shared" si="2"/>
        <v>9</v>
      </c>
      <c r="D252" s="7">
        <v>5069.5</v>
      </c>
      <c r="E252" s="7">
        <v>7572.0</v>
      </c>
      <c r="F252" s="7">
        <v>9179.0</v>
      </c>
      <c r="G252" s="7">
        <v>16751.0</v>
      </c>
      <c r="H252" s="7">
        <v>189.99</v>
      </c>
      <c r="I252" s="7">
        <v>2821.0</v>
      </c>
      <c r="J252" s="7">
        <v>0.067</v>
      </c>
      <c r="K252" s="7">
        <v>2279.0</v>
      </c>
      <c r="L252" s="7">
        <v>1934.69</v>
      </c>
      <c r="M252" s="7">
        <v>2661.0</v>
      </c>
      <c r="N252" s="7">
        <v>0.727</v>
      </c>
      <c r="O252" s="8">
        <v>2265.0</v>
      </c>
      <c r="P252" s="7">
        <v>2904.82</v>
      </c>
      <c r="Q252" s="7">
        <v>2334317.0</v>
      </c>
      <c r="R252" s="7">
        <v>1.24</v>
      </c>
      <c r="S252" s="7">
        <v>4705.0</v>
      </c>
      <c r="T252" s="7">
        <v>0.0</v>
      </c>
      <c r="U252" s="7">
        <v>0.0</v>
      </c>
      <c r="V252" s="7">
        <v>0.0</v>
      </c>
      <c r="W252" s="7">
        <v>71.0</v>
      </c>
      <c r="X252" s="7">
        <v>40.0</v>
      </c>
      <c r="Y252" s="7">
        <v>25767.0</v>
      </c>
      <c r="Z252" s="7">
        <v>1.55</v>
      </c>
      <c r="AA252" s="11">
        <v>64.0</v>
      </c>
      <c r="AB252" s="7"/>
      <c r="AC252" s="10"/>
      <c r="AD252" s="10"/>
    </row>
    <row r="253" ht="15.75" customHeight="1">
      <c r="A253" s="6">
        <v>44813.0</v>
      </c>
      <c r="B253" s="7">
        <f t="shared" si="1"/>
        <v>9</v>
      </c>
      <c r="C253" s="7">
        <f t="shared" si="2"/>
        <v>9</v>
      </c>
      <c r="D253" s="7">
        <v>5619.29</v>
      </c>
      <c r="E253" s="7">
        <v>6892.0</v>
      </c>
      <c r="F253" s="7">
        <v>8817.0</v>
      </c>
      <c r="G253" s="7">
        <v>15709.0</v>
      </c>
      <c r="H253" s="7">
        <v>135.56</v>
      </c>
      <c r="I253" s="7">
        <v>2486.0</v>
      </c>
      <c r="J253" s="7">
        <v>0.055</v>
      </c>
      <c r="K253" s="7">
        <v>2018.0</v>
      </c>
      <c r="L253" s="7">
        <v>2125.13</v>
      </c>
      <c r="M253" s="7">
        <v>2709.0</v>
      </c>
      <c r="N253" s="7">
        <v>0.784</v>
      </c>
      <c r="O253" s="8">
        <v>2194.0</v>
      </c>
      <c r="P253" s="7">
        <v>3318.6</v>
      </c>
      <c r="Q253" s="7">
        <v>2184187.0</v>
      </c>
      <c r="R253" s="7">
        <v>1.52</v>
      </c>
      <c r="S253" s="7">
        <v>4264.0</v>
      </c>
      <c r="T253" s="7">
        <v>0.0</v>
      </c>
      <c r="U253" s="7">
        <v>0.0</v>
      </c>
      <c r="V253" s="7">
        <v>0.0</v>
      </c>
      <c r="W253" s="7">
        <v>70.0</v>
      </c>
      <c r="X253" s="7">
        <v>40.0</v>
      </c>
      <c r="Y253" s="7">
        <v>22082.0</v>
      </c>
      <c r="Z253" s="7">
        <v>1.81</v>
      </c>
      <c r="AA253" s="11">
        <v>51.0</v>
      </c>
      <c r="AB253" s="7"/>
      <c r="AC253" s="10"/>
      <c r="AD253" s="10"/>
    </row>
    <row r="254" ht="15.75" customHeight="1">
      <c r="A254" s="6">
        <v>44814.0</v>
      </c>
      <c r="B254" s="7">
        <f t="shared" si="1"/>
        <v>10</v>
      </c>
      <c r="C254" s="7">
        <f t="shared" si="2"/>
        <v>9</v>
      </c>
      <c r="D254" s="7">
        <v>5904.26</v>
      </c>
      <c r="E254" s="7">
        <v>8254.0</v>
      </c>
      <c r="F254" s="7">
        <v>7602.0</v>
      </c>
      <c r="G254" s="7">
        <v>15856.0</v>
      </c>
      <c r="H254" s="7">
        <v>154.77</v>
      </c>
      <c r="I254" s="7">
        <v>2612.0</v>
      </c>
      <c r="J254" s="7">
        <v>0.059</v>
      </c>
      <c r="K254" s="7">
        <v>1554.0</v>
      </c>
      <c r="L254" s="7">
        <v>2173.48</v>
      </c>
      <c r="M254" s="7">
        <v>2813.0</v>
      </c>
      <c r="N254" s="7">
        <v>0.773</v>
      </c>
      <c r="O254" s="8">
        <v>1805.0</v>
      </c>
      <c r="P254" s="7">
        <v>3536.02</v>
      </c>
      <c r="Q254" s="7">
        <v>2210993.0</v>
      </c>
      <c r="R254" s="7">
        <v>1.6</v>
      </c>
      <c r="S254" s="7">
        <v>4234.0</v>
      </c>
      <c r="T254" s="7">
        <v>0.0</v>
      </c>
      <c r="U254" s="7">
        <v>0.0</v>
      </c>
      <c r="V254" s="7">
        <v>0.0</v>
      </c>
      <c r="W254" s="7">
        <v>55.0</v>
      </c>
      <c r="X254" s="7">
        <v>39.99</v>
      </c>
      <c r="Y254" s="7">
        <v>19162.0</v>
      </c>
      <c r="Z254" s="7">
        <v>2.09</v>
      </c>
      <c r="AA254" s="11">
        <v>48.0</v>
      </c>
      <c r="AB254" s="7"/>
      <c r="AC254" s="10"/>
      <c r="AD254" s="10"/>
    </row>
    <row r="255" ht="15.75" customHeight="1">
      <c r="A255" s="6">
        <v>44815.0</v>
      </c>
      <c r="B255" s="7">
        <f t="shared" si="1"/>
        <v>11</v>
      </c>
      <c r="C255" s="7">
        <f t="shared" si="2"/>
        <v>9</v>
      </c>
      <c r="D255" s="7">
        <v>6943.36</v>
      </c>
      <c r="E255" s="7">
        <v>7193.0</v>
      </c>
      <c r="F255" s="7">
        <v>10731.0</v>
      </c>
      <c r="G255" s="7">
        <v>17924.0</v>
      </c>
      <c r="H255" s="7">
        <v>163.97</v>
      </c>
      <c r="I255" s="7">
        <v>3011.0</v>
      </c>
      <c r="J255" s="7">
        <v>0.054</v>
      </c>
      <c r="K255" s="7">
        <v>2254.0</v>
      </c>
      <c r="L255" s="7">
        <v>3015.26</v>
      </c>
      <c r="M255" s="7">
        <v>3515.0</v>
      </c>
      <c r="N255" s="7">
        <v>0.858</v>
      </c>
      <c r="O255" s="8">
        <v>2755.0</v>
      </c>
      <c r="P255" s="7">
        <v>3724.34</v>
      </c>
      <c r="Q255" s="7">
        <v>2574135.0</v>
      </c>
      <c r="R255" s="7">
        <v>1.45</v>
      </c>
      <c r="S255" s="7">
        <v>5841.0</v>
      </c>
      <c r="T255" s="7">
        <v>0.0</v>
      </c>
      <c r="U255" s="7">
        <v>0.0</v>
      </c>
      <c r="V255" s="7">
        <v>0.0</v>
      </c>
      <c r="W255" s="7">
        <v>64.0</v>
      </c>
      <c r="X255" s="7">
        <v>39.79</v>
      </c>
      <c r="Y255" s="7">
        <v>21453.0</v>
      </c>
      <c r="Z255" s="7">
        <v>1.85</v>
      </c>
      <c r="AA255" s="11">
        <v>56.0</v>
      </c>
      <c r="AB255" s="7"/>
      <c r="AC255" s="10"/>
      <c r="AD255" s="10"/>
    </row>
    <row r="256" ht="15.75" customHeight="1">
      <c r="A256" s="6">
        <v>44816.0</v>
      </c>
      <c r="B256" s="7">
        <f t="shared" si="1"/>
        <v>12</v>
      </c>
      <c r="C256" s="7">
        <f t="shared" si="2"/>
        <v>9</v>
      </c>
      <c r="D256" s="7">
        <v>6603.86</v>
      </c>
      <c r="E256" s="7">
        <v>9180.0</v>
      </c>
      <c r="F256" s="7">
        <v>10018.0</v>
      </c>
      <c r="G256" s="7">
        <v>19198.0</v>
      </c>
      <c r="H256" s="7">
        <v>209.88</v>
      </c>
      <c r="I256" s="7">
        <v>3163.0</v>
      </c>
      <c r="J256" s="7">
        <v>0.066</v>
      </c>
      <c r="K256" s="7">
        <v>2549.0</v>
      </c>
      <c r="L256" s="7">
        <v>2535.81</v>
      </c>
      <c r="M256" s="7">
        <v>3082.0</v>
      </c>
      <c r="N256" s="7">
        <v>0.823</v>
      </c>
      <c r="O256" s="8">
        <v>2575.0</v>
      </c>
      <c r="P256" s="7">
        <v>3818.17</v>
      </c>
      <c r="Q256" s="7">
        <v>2545671.0</v>
      </c>
      <c r="R256" s="7">
        <v>1.5</v>
      </c>
      <c r="S256" s="7">
        <v>4666.0</v>
      </c>
      <c r="T256" s="7">
        <v>0.0</v>
      </c>
      <c r="U256" s="7">
        <v>0.0</v>
      </c>
      <c r="V256" s="7">
        <v>0.0</v>
      </c>
      <c r="W256" s="7">
        <v>85.0</v>
      </c>
      <c r="X256" s="7">
        <v>40.0</v>
      </c>
      <c r="Y256" s="7">
        <v>22179.0</v>
      </c>
      <c r="Z256" s="7">
        <v>1.8</v>
      </c>
      <c r="AA256" s="11">
        <v>54.0</v>
      </c>
      <c r="AB256" s="7"/>
      <c r="AC256" s="10"/>
      <c r="AD256" s="10"/>
    </row>
    <row r="257" ht="15.75" customHeight="1">
      <c r="A257" s="6">
        <v>44817.0</v>
      </c>
      <c r="B257" s="7">
        <f t="shared" si="1"/>
        <v>13</v>
      </c>
      <c r="C257" s="7">
        <f t="shared" si="2"/>
        <v>9</v>
      </c>
      <c r="D257" s="7">
        <v>6086.44</v>
      </c>
      <c r="E257" s="7">
        <v>8760.0</v>
      </c>
      <c r="F257" s="7">
        <v>10708.0</v>
      </c>
      <c r="G257" s="7">
        <v>19468.0</v>
      </c>
      <c r="H257" s="7">
        <v>193.29</v>
      </c>
      <c r="I257" s="7">
        <v>4059.0</v>
      </c>
      <c r="J257" s="7">
        <v>0.048</v>
      </c>
      <c r="K257" s="7">
        <v>3258.0</v>
      </c>
      <c r="L257" s="7">
        <v>2737.08</v>
      </c>
      <c r="M257" s="7">
        <v>3270.0</v>
      </c>
      <c r="N257" s="7">
        <v>0.837</v>
      </c>
      <c r="O257" s="8">
        <v>2708.0</v>
      </c>
      <c r="P257" s="7">
        <v>3116.07</v>
      </c>
      <c r="Q257" s="7">
        <v>2000405.0</v>
      </c>
      <c r="R257" s="7">
        <v>1.56</v>
      </c>
      <c r="S257" s="7">
        <v>4662.0</v>
      </c>
      <c r="T257" s="7">
        <v>0.0</v>
      </c>
      <c r="U257" s="7">
        <v>0.0</v>
      </c>
      <c r="V257" s="7">
        <v>0.0</v>
      </c>
      <c r="W257" s="7">
        <v>92.0</v>
      </c>
      <c r="X257" s="7">
        <v>40.0</v>
      </c>
      <c r="Y257" s="7">
        <v>20105.0</v>
      </c>
      <c r="Z257" s="7">
        <v>1.99</v>
      </c>
      <c r="AA257" s="11">
        <v>38.0</v>
      </c>
      <c r="AB257" s="7"/>
      <c r="AC257" s="10"/>
      <c r="AD257" s="10"/>
    </row>
    <row r="258" ht="15.75" customHeight="1">
      <c r="A258" s="6">
        <v>44818.0</v>
      </c>
      <c r="B258" s="7">
        <f t="shared" si="1"/>
        <v>14</v>
      </c>
      <c r="C258" s="7">
        <f t="shared" si="2"/>
        <v>9</v>
      </c>
      <c r="D258" s="7">
        <v>6196.7</v>
      </c>
      <c r="E258" s="7">
        <v>8451.0</v>
      </c>
      <c r="F258" s="7">
        <v>9683.0</v>
      </c>
      <c r="G258" s="7">
        <v>18134.0</v>
      </c>
      <c r="H258" s="7">
        <v>180.39</v>
      </c>
      <c r="I258" s="7">
        <v>3200.0</v>
      </c>
      <c r="J258" s="7">
        <v>0.056</v>
      </c>
      <c r="K258" s="7">
        <v>2634.0</v>
      </c>
      <c r="L258" s="7">
        <v>2706.36</v>
      </c>
      <c r="M258" s="7">
        <v>3091.0</v>
      </c>
      <c r="N258" s="7">
        <v>0.876</v>
      </c>
      <c r="O258" s="8">
        <v>2534.0</v>
      </c>
      <c r="P258" s="7">
        <v>3269.82</v>
      </c>
      <c r="Q258" s="7">
        <v>2145849.0</v>
      </c>
      <c r="R258" s="7">
        <v>1.52</v>
      </c>
      <c r="S258" s="7">
        <v>4499.0</v>
      </c>
      <c r="T258" s="7">
        <v>0.0</v>
      </c>
      <c r="U258" s="7">
        <v>0.0</v>
      </c>
      <c r="V258" s="7">
        <v>0.0</v>
      </c>
      <c r="W258" s="7">
        <v>94.0</v>
      </c>
      <c r="X258" s="7">
        <v>40.13</v>
      </c>
      <c r="Y258" s="7">
        <v>18268.0</v>
      </c>
      <c r="Z258" s="7">
        <v>2.2</v>
      </c>
      <c r="AA258" s="11">
        <v>42.0</v>
      </c>
      <c r="AB258" s="7"/>
      <c r="AC258" s="10"/>
      <c r="AD258" s="10"/>
    </row>
    <row r="259" ht="15.75" customHeight="1">
      <c r="A259" s="6">
        <v>44819.0</v>
      </c>
      <c r="B259" s="7">
        <f t="shared" si="1"/>
        <v>15</v>
      </c>
      <c r="C259" s="7">
        <f t="shared" si="2"/>
        <v>9</v>
      </c>
      <c r="D259" s="7">
        <v>7274.64</v>
      </c>
      <c r="E259" s="7">
        <v>10282.0</v>
      </c>
      <c r="F259" s="7">
        <v>10658.0</v>
      </c>
      <c r="G259" s="7">
        <v>20940.0</v>
      </c>
      <c r="H259" s="7">
        <v>171.19</v>
      </c>
      <c r="I259" s="7">
        <v>3180.0</v>
      </c>
      <c r="J259" s="7">
        <v>0.054</v>
      </c>
      <c r="K259" s="7">
        <v>2496.0</v>
      </c>
      <c r="L259" s="7">
        <v>2693.89</v>
      </c>
      <c r="M259" s="7">
        <v>2995.0</v>
      </c>
      <c r="N259" s="7">
        <v>0.899</v>
      </c>
      <c r="O259" s="8">
        <v>2413.0</v>
      </c>
      <c r="P259" s="7">
        <v>4247.47</v>
      </c>
      <c r="Q259" s="7">
        <v>2734511.0</v>
      </c>
      <c r="R259" s="7">
        <v>1.55</v>
      </c>
      <c r="S259" s="7">
        <v>5762.0</v>
      </c>
      <c r="T259" s="7">
        <v>72.09</v>
      </c>
      <c r="U259" s="7">
        <v>14.0</v>
      </c>
      <c r="V259" s="7">
        <v>5.15</v>
      </c>
      <c r="W259" s="7">
        <v>81.0</v>
      </c>
      <c r="X259" s="7">
        <v>90.0</v>
      </c>
      <c r="Y259" s="7">
        <v>42921.0</v>
      </c>
      <c r="Z259" s="7">
        <v>2.1</v>
      </c>
      <c r="AA259" s="11">
        <v>115.0</v>
      </c>
      <c r="AB259" s="7"/>
      <c r="AC259" s="10"/>
      <c r="AD259" s="10"/>
    </row>
    <row r="260" ht="15.75" customHeight="1">
      <c r="A260" s="6">
        <v>44820.0</v>
      </c>
      <c r="B260" s="7">
        <f t="shared" si="1"/>
        <v>16</v>
      </c>
      <c r="C260" s="7">
        <f t="shared" si="2"/>
        <v>9</v>
      </c>
      <c r="D260" s="7">
        <v>6811.02</v>
      </c>
      <c r="E260" s="7">
        <v>8200.0</v>
      </c>
      <c r="F260" s="7">
        <v>9856.0</v>
      </c>
      <c r="G260" s="7">
        <v>18056.0</v>
      </c>
      <c r="H260" s="7">
        <v>170.39</v>
      </c>
      <c r="I260" s="7">
        <v>2946.0</v>
      </c>
      <c r="J260" s="7">
        <v>0.058</v>
      </c>
      <c r="K260" s="7">
        <v>2294.0</v>
      </c>
      <c r="L260" s="7">
        <v>2276.23</v>
      </c>
      <c r="M260" s="7">
        <v>2577.0</v>
      </c>
      <c r="N260" s="7">
        <v>0.883</v>
      </c>
      <c r="O260" s="8">
        <v>2171.0</v>
      </c>
      <c r="P260" s="7">
        <v>4204.0</v>
      </c>
      <c r="Q260" s="7">
        <v>2654912.0</v>
      </c>
      <c r="R260" s="7">
        <v>1.58</v>
      </c>
      <c r="S260" s="7">
        <v>5364.0</v>
      </c>
      <c r="T260" s="7">
        <v>70.4</v>
      </c>
      <c r="U260" s="7">
        <v>26.0</v>
      </c>
      <c r="V260" s="7">
        <v>2.71</v>
      </c>
      <c r="W260" s="7">
        <v>70.0</v>
      </c>
      <c r="X260" s="7">
        <v>90.0</v>
      </c>
      <c r="Y260" s="7">
        <v>47682.0</v>
      </c>
      <c r="Z260" s="7">
        <v>1.89</v>
      </c>
      <c r="AA260" s="11">
        <v>116.0</v>
      </c>
      <c r="AB260" s="7"/>
      <c r="AC260" s="10"/>
      <c r="AD260" s="10"/>
    </row>
    <row r="261" ht="15.75" customHeight="1">
      <c r="A261" s="6">
        <v>44821.0</v>
      </c>
      <c r="B261" s="7">
        <f t="shared" si="1"/>
        <v>17</v>
      </c>
      <c r="C261" s="7">
        <f t="shared" si="2"/>
        <v>9</v>
      </c>
      <c r="D261" s="7">
        <v>7333.24</v>
      </c>
      <c r="E261" s="7">
        <v>7672.0</v>
      </c>
      <c r="F261" s="7">
        <v>10431.0</v>
      </c>
      <c r="G261" s="7">
        <v>18103.0</v>
      </c>
      <c r="H261" s="7">
        <v>148.43</v>
      </c>
      <c r="I261" s="7">
        <v>2874.0</v>
      </c>
      <c r="J261" s="7">
        <v>0.052</v>
      </c>
      <c r="K261" s="7">
        <v>2182.0</v>
      </c>
      <c r="L261" s="7">
        <v>2592.97</v>
      </c>
      <c r="M261" s="7">
        <v>3064.0</v>
      </c>
      <c r="N261" s="7">
        <v>0.846</v>
      </c>
      <c r="O261" s="8">
        <v>2375.0</v>
      </c>
      <c r="P261" s="7">
        <v>4432.06</v>
      </c>
      <c r="Q261" s="7">
        <v>2870151.0</v>
      </c>
      <c r="R261" s="7">
        <v>1.54</v>
      </c>
      <c r="S261" s="7">
        <v>5824.0</v>
      </c>
      <c r="T261" s="7">
        <v>69.78</v>
      </c>
      <c r="U261" s="7">
        <v>30.0</v>
      </c>
      <c r="V261" s="7">
        <v>2.33</v>
      </c>
      <c r="W261" s="7">
        <v>69.0</v>
      </c>
      <c r="X261" s="7">
        <v>90.0</v>
      </c>
      <c r="Y261" s="7">
        <v>50743.0</v>
      </c>
      <c r="Z261" s="7">
        <v>1.77</v>
      </c>
      <c r="AA261" s="11">
        <v>75.0</v>
      </c>
      <c r="AB261" s="7"/>
      <c r="AC261" s="10"/>
      <c r="AD261" s="10"/>
    </row>
    <row r="262" ht="15.75" customHeight="1">
      <c r="A262" s="6">
        <v>44822.0</v>
      </c>
      <c r="B262" s="7">
        <f t="shared" si="1"/>
        <v>18</v>
      </c>
      <c r="C262" s="7">
        <f t="shared" si="2"/>
        <v>9</v>
      </c>
      <c r="D262" s="7">
        <v>7688.8</v>
      </c>
      <c r="E262" s="7">
        <v>8034.0</v>
      </c>
      <c r="F262" s="7">
        <v>11525.0</v>
      </c>
      <c r="G262" s="7">
        <v>19559.0</v>
      </c>
      <c r="H262" s="7">
        <v>141.67</v>
      </c>
      <c r="I262" s="7">
        <v>3080.0</v>
      </c>
      <c r="J262" s="7">
        <v>0.046</v>
      </c>
      <c r="K262" s="7">
        <v>2343.0</v>
      </c>
      <c r="L262" s="7">
        <v>2817.53</v>
      </c>
      <c r="M262" s="7">
        <v>3404.0</v>
      </c>
      <c r="N262" s="7">
        <v>0.828</v>
      </c>
      <c r="O262" s="8">
        <v>2632.0</v>
      </c>
      <c r="P262" s="7">
        <v>4570.08</v>
      </c>
      <c r="Q262" s="7">
        <v>3136502.0</v>
      </c>
      <c r="R262" s="7">
        <v>1.46</v>
      </c>
      <c r="S262" s="7">
        <v>6497.0</v>
      </c>
      <c r="T262" s="7">
        <v>69.52</v>
      </c>
      <c r="U262" s="7">
        <v>32.0</v>
      </c>
      <c r="V262" s="7">
        <v>2.17</v>
      </c>
      <c r="W262" s="7">
        <v>53.0</v>
      </c>
      <c r="X262" s="7">
        <v>90.0</v>
      </c>
      <c r="Y262" s="7">
        <v>59740.0</v>
      </c>
      <c r="Z262" s="7">
        <v>1.51</v>
      </c>
      <c r="AA262" s="11">
        <v>102.0</v>
      </c>
      <c r="AB262" s="7"/>
      <c r="AC262" s="10"/>
      <c r="AD262" s="10"/>
    </row>
    <row r="263" ht="15.75" customHeight="1">
      <c r="A263" s="6">
        <v>44823.0</v>
      </c>
      <c r="B263" s="7">
        <f t="shared" si="1"/>
        <v>19</v>
      </c>
      <c r="C263" s="7">
        <f t="shared" si="2"/>
        <v>9</v>
      </c>
      <c r="D263" s="7">
        <v>7770.92</v>
      </c>
      <c r="E263" s="7">
        <v>8587.0</v>
      </c>
      <c r="F263" s="7">
        <v>10139.0</v>
      </c>
      <c r="G263" s="7">
        <v>18726.0</v>
      </c>
      <c r="H263" s="7">
        <v>203.6</v>
      </c>
      <c r="I263" s="7">
        <v>3029.0</v>
      </c>
      <c r="J263" s="7">
        <v>0.067</v>
      </c>
      <c r="K263" s="7">
        <v>2425.0</v>
      </c>
      <c r="L263" s="7">
        <v>3009.86</v>
      </c>
      <c r="M263" s="7">
        <v>3088.0</v>
      </c>
      <c r="N263" s="7">
        <v>0.975</v>
      </c>
      <c r="O263" s="8">
        <v>2485.0</v>
      </c>
      <c r="P263" s="7">
        <v>4405.36</v>
      </c>
      <c r="Q263" s="7">
        <v>2946187.0</v>
      </c>
      <c r="R263" s="7">
        <v>1.5</v>
      </c>
      <c r="S263" s="7">
        <v>5237.0</v>
      </c>
      <c r="T263" s="7">
        <v>72.1</v>
      </c>
      <c r="U263" s="7">
        <v>28.0</v>
      </c>
      <c r="V263" s="7">
        <v>2.58</v>
      </c>
      <c r="W263" s="7">
        <v>98.0</v>
      </c>
      <c r="X263" s="7">
        <v>80.0</v>
      </c>
      <c r="Y263" s="7">
        <v>57007.0</v>
      </c>
      <c r="Z263" s="7">
        <v>1.4</v>
      </c>
      <c r="AA263" s="11">
        <v>107.0</v>
      </c>
      <c r="AB263" s="7"/>
      <c r="AC263" s="10"/>
      <c r="AD263" s="10"/>
    </row>
    <row r="264" ht="15.75" customHeight="1">
      <c r="A264" s="6">
        <v>44824.0</v>
      </c>
      <c r="B264" s="7">
        <f t="shared" si="1"/>
        <v>20</v>
      </c>
      <c r="C264" s="7">
        <f t="shared" si="2"/>
        <v>9</v>
      </c>
      <c r="D264" s="7">
        <v>7041.51</v>
      </c>
      <c r="E264" s="7">
        <v>9706.0</v>
      </c>
      <c r="F264" s="7">
        <v>10365.0</v>
      </c>
      <c r="G264" s="7">
        <v>20071.0</v>
      </c>
      <c r="H264" s="7">
        <v>181.96</v>
      </c>
      <c r="I264" s="7">
        <v>3180.0</v>
      </c>
      <c r="J264" s="7">
        <v>0.057</v>
      </c>
      <c r="K264" s="7">
        <v>2602.0</v>
      </c>
      <c r="L264" s="7">
        <v>2646.21</v>
      </c>
      <c r="M264" s="7">
        <v>2935.0</v>
      </c>
      <c r="N264" s="7">
        <v>0.902</v>
      </c>
      <c r="O264" s="8">
        <v>2452.0</v>
      </c>
      <c r="P264" s="7">
        <v>4096.05</v>
      </c>
      <c r="Q264" s="7">
        <v>2680728.0</v>
      </c>
      <c r="R264" s="7">
        <v>1.53</v>
      </c>
      <c r="S264" s="7">
        <v>4998.0</v>
      </c>
      <c r="T264" s="7">
        <v>71.76</v>
      </c>
      <c r="U264" s="7">
        <v>29.0</v>
      </c>
      <c r="V264" s="7">
        <v>2.47</v>
      </c>
      <c r="W264" s="7">
        <v>82.0</v>
      </c>
      <c r="X264" s="7">
        <v>45.53</v>
      </c>
      <c r="Y264" s="7">
        <v>26609.0</v>
      </c>
      <c r="Z264" s="7">
        <v>1.71</v>
      </c>
      <c r="AA264" s="11">
        <v>45.0</v>
      </c>
      <c r="AB264" s="7"/>
      <c r="AC264" s="10"/>
      <c r="AD264" s="10"/>
    </row>
    <row r="265" ht="15.75" customHeight="1">
      <c r="A265" s="6">
        <v>44825.0</v>
      </c>
      <c r="B265" s="7">
        <f t="shared" si="1"/>
        <v>21</v>
      </c>
      <c r="C265" s="7">
        <f t="shared" si="2"/>
        <v>9</v>
      </c>
      <c r="D265" s="7">
        <v>6764.0</v>
      </c>
      <c r="E265" s="7">
        <v>7782.0</v>
      </c>
      <c r="F265" s="7">
        <v>9248.0</v>
      </c>
      <c r="G265" s="7">
        <v>17030.0</v>
      </c>
      <c r="H265" s="7">
        <v>157.43</v>
      </c>
      <c r="I265" s="7">
        <v>2723.0</v>
      </c>
      <c r="J265" s="7">
        <v>0.058</v>
      </c>
      <c r="K265" s="7">
        <v>2175.0</v>
      </c>
      <c r="L265" s="7">
        <v>2390.99</v>
      </c>
      <c r="M265" s="7">
        <v>2710.0</v>
      </c>
      <c r="N265" s="7">
        <v>0.882</v>
      </c>
      <c r="O265" s="8">
        <v>2229.0</v>
      </c>
      <c r="P265" s="7">
        <v>4103.02</v>
      </c>
      <c r="Q265" s="7">
        <v>2565307.0</v>
      </c>
      <c r="R265" s="7">
        <v>1.6</v>
      </c>
      <c r="S265" s="7">
        <v>4719.0</v>
      </c>
      <c r="T265" s="7">
        <v>72.56</v>
      </c>
      <c r="U265" s="7">
        <v>21.0</v>
      </c>
      <c r="V265" s="7">
        <v>3.46</v>
      </c>
      <c r="W265" s="7">
        <v>73.0</v>
      </c>
      <c r="X265" s="7">
        <v>40.0</v>
      </c>
      <c r="Y265" s="7">
        <v>33643.0</v>
      </c>
      <c r="Z265" s="7">
        <v>1.19</v>
      </c>
      <c r="AA265" s="11">
        <v>55.0</v>
      </c>
      <c r="AB265" s="7"/>
      <c r="AC265" s="10"/>
      <c r="AD265" s="10"/>
    </row>
    <row r="266" ht="15.75" customHeight="1">
      <c r="A266" s="6">
        <v>44826.0</v>
      </c>
      <c r="B266" s="7">
        <f t="shared" si="1"/>
        <v>22</v>
      </c>
      <c r="C266" s="7">
        <f t="shared" si="2"/>
        <v>9</v>
      </c>
      <c r="D266" s="7">
        <v>6816.08</v>
      </c>
      <c r="E266" s="7">
        <v>7499.0</v>
      </c>
      <c r="F266" s="7">
        <v>8578.0</v>
      </c>
      <c r="G266" s="7">
        <v>16077.0</v>
      </c>
      <c r="H266" s="7">
        <v>142.43</v>
      </c>
      <c r="I266" s="7">
        <v>2642.0</v>
      </c>
      <c r="J266" s="7">
        <v>0.054</v>
      </c>
      <c r="K266" s="7">
        <v>2141.0</v>
      </c>
      <c r="L266" s="7">
        <v>2557.95</v>
      </c>
      <c r="M266" s="7">
        <v>2748.0</v>
      </c>
      <c r="N266" s="7">
        <v>0.931</v>
      </c>
      <c r="O266" s="8">
        <v>2257.0</v>
      </c>
      <c r="P266" s="7">
        <v>4004.42</v>
      </c>
      <c r="Q266" s="7">
        <v>2340050.0</v>
      </c>
      <c r="R266" s="7">
        <v>1.71</v>
      </c>
      <c r="S266" s="7">
        <v>4079.0</v>
      </c>
      <c r="T266" s="7">
        <v>71.28</v>
      </c>
      <c r="U266" s="7">
        <v>22.0</v>
      </c>
      <c r="V266" s="7">
        <v>3.24</v>
      </c>
      <c r="W266" s="7">
        <v>75.0</v>
      </c>
      <c r="X266" s="7">
        <v>40.0</v>
      </c>
      <c r="Y266" s="7">
        <v>33478.0</v>
      </c>
      <c r="Z266" s="7">
        <v>1.19</v>
      </c>
      <c r="AA266" s="11">
        <v>46.0</v>
      </c>
      <c r="AB266" s="7"/>
      <c r="AC266" s="10"/>
      <c r="AD266" s="10"/>
    </row>
    <row r="267" ht="15.75" customHeight="1">
      <c r="A267" s="6">
        <v>44827.0</v>
      </c>
      <c r="B267" s="7">
        <f t="shared" si="1"/>
        <v>23</v>
      </c>
      <c r="C267" s="7">
        <f t="shared" si="2"/>
        <v>9</v>
      </c>
      <c r="D267" s="7">
        <v>6788.01</v>
      </c>
      <c r="E267" s="7">
        <v>7640.0</v>
      </c>
      <c r="F267" s="7">
        <v>8232.0</v>
      </c>
      <c r="G267" s="7">
        <v>15872.0</v>
      </c>
      <c r="H267" s="7">
        <v>124.69</v>
      </c>
      <c r="I267" s="7">
        <v>2543.0</v>
      </c>
      <c r="J267" s="7">
        <v>0.049</v>
      </c>
      <c r="K267" s="7">
        <v>2072.0</v>
      </c>
      <c r="L267" s="7">
        <v>2602.16</v>
      </c>
      <c r="M267" s="7">
        <v>2622.0</v>
      </c>
      <c r="N267" s="7">
        <v>0.992</v>
      </c>
      <c r="O267" s="8">
        <v>2085.0</v>
      </c>
      <c r="P267" s="7">
        <v>3952.5</v>
      </c>
      <c r="Q267" s="7">
        <v>2354197.0</v>
      </c>
      <c r="R267" s="7">
        <v>1.68</v>
      </c>
      <c r="S267" s="7">
        <v>4114.0</v>
      </c>
      <c r="T267" s="7">
        <v>68.73</v>
      </c>
      <c r="U267" s="7">
        <v>18.0</v>
      </c>
      <c r="V267" s="7">
        <v>3.82</v>
      </c>
      <c r="W267" s="7">
        <v>55.0</v>
      </c>
      <c r="X267" s="7">
        <v>39.93</v>
      </c>
      <c r="Y267" s="7">
        <v>28617.0</v>
      </c>
      <c r="Z267" s="7">
        <v>1.4</v>
      </c>
      <c r="AA267" s="11">
        <v>33.0</v>
      </c>
      <c r="AB267" s="7"/>
      <c r="AC267" s="10"/>
      <c r="AD267" s="10"/>
    </row>
    <row r="268" ht="15.75" customHeight="1">
      <c r="A268" s="6">
        <v>44828.0</v>
      </c>
      <c r="B268" s="7">
        <f t="shared" si="1"/>
        <v>24</v>
      </c>
      <c r="C268" s="7">
        <f t="shared" si="2"/>
        <v>9</v>
      </c>
      <c r="D268" s="7">
        <v>6916.67</v>
      </c>
      <c r="E268" s="7">
        <v>6763.0</v>
      </c>
      <c r="F268" s="7">
        <v>8967.0</v>
      </c>
      <c r="G268" s="7">
        <v>15730.0</v>
      </c>
      <c r="H268" s="7">
        <v>106.61</v>
      </c>
      <c r="I268" s="7">
        <v>2468.0</v>
      </c>
      <c r="J268" s="7">
        <v>0.043</v>
      </c>
      <c r="K268" s="7">
        <v>1917.0</v>
      </c>
      <c r="L268" s="7">
        <v>2623.25</v>
      </c>
      <c r="M268" s="7">
        <v>2895.0</v>
      </c>
      <c r="N268" s="7">
        <v>0.906</v>
      </c>
      <c r="O268" s="8">
        <v>2297.0</v>
      </c>
      <c r="P268" s="7">
        <v>4078.0</v>
      </c>
      <c r="Q268" s="7">
        <v>2515002.0</v>
      </c>
      <c r="R268" s="7">
        <v>1.62</v>
      </c>
      <c r="S268" s="7">
        <v>4613.0</v>
      </c>
      <c r="T268" s="7">
        <v>68.81</v>
      </c>
      <c r="U268" s="7">
        <v>32.0</v>
      </c>
      <c r="V268" s="7">
        <v>2.15</v>
      </c>
      <c r="W268" s="7">
        <v>69.0</v>
      </c>
      <c r="X268" s="7">
        <v>40.0</v>
      </c>
      <c r="Y268" s="7">
        <v>21732.0</v>
      </c>
      <c r="Z268" s="7">
        <v>1.84</v>
      </c>
      <c r="AA268" s="11">
        <v>49.0</v>
      </c>
      <c r="AB268" s="7"/>
      <c r="AC268" s="10"/>
      <c r="AD268" s="10"/>
    </row>
    <row r="269" ht="15.75" customHeight="1">
      <c r="A269" s="6">
        <v>44829.0</v>
      </c>
      <c r="B269" s="7">
        <f t="shared" si="1"/>
        <v>25</v>
      </c>
      <c r="C269" s="7">
        <f t="shared" si="2"/>
        <v>9</v>
      </c>
      <c r="D269" s="7">
        <v>7748.88</v>
      </c>
      <c r="E269" s="7">
        <v>7494.0</v>
      </c>
      <c r="F269" s="7">
        <v>10171.0</v>
      </c>
      <c r="G269" s="7">
        <v>17665.0</v>
      </c>
      <c r="H269" s="7">
        <v>154.37</v>
      </c>
      <c r="I269" s="7">
        <v>2905.0</v>
      </c>
      <c r="J269" s="7">
        <v>0.053</v>
      </c>
      <c r="K269" s="7">
        <v>2205.0</v>
      </c>
      <c r="L269" s="7">
        <v>3028.83</v>
      </c>
      <c r="M269" s="7">
        <v>3339.0</v>
      </c>
      <c r="N269" s="7">
        <v>0.907</v>
      </c>
      <c r="O269" s="8">
        <v>2567.0</v>
      </c>
      <c r="P269" s="7">
        <v>4456.87</v>
      </c>
      <c r="Q269" s="7">
        <v>3285168.0</v>
      </c>
      <c r="R269" s="7">
        <v>1.36</v>
      </c>
      <c r="S269" s="7">
        <v>5329.0</v>
      </c>
      <c r="T269" s="7">
        <v>68.81</v>
      </c>
      <c r="U269" s="7">
        <v>22.0</v>
      </c>
      <c r="V269" s="7">
        <v>3.13</v>
      </c>
      <c r="W269" s="7">
        <v>58.0</v>
      </c>
      <c r="X269" s="7">
        <v>40.0</v>
      </c>
      <c r="Y269" s="7">
        <v>33852.0</v>
      </c>
      <c r="Z269" s="7">
        <v>1.18</v>
      </c>
      <c r="AA269" s="11">
        <v>57.0</v>
      </c>
      <c r="AB269" s="7"/>
      <c r="AC269" s="10"/>
      <c r="AD269" s="10"/>
    </row>
    <row r="270" ht="15.75" customHeight="1">
      <c r="A270" s="6">
        <v>44830.0</v>
      </c>
      <c r="B270" s="7">
        <f t="shared" si="1"/>
        <v>26</v>
      </c>
      <c r="C270" s="7">
        <f t="shared" si="2"/>
        <v>9</v>
      </c>
      <c r="D270" s="7">
        <v>7075.95</v>
      </c>
      <c r="E270" s="7">
        <v>7014.0</v>
      </c>
      <c r="F270" s="7">
        <v>8887.0</v>
      </c>
      <c r="G270" s="7">
        <v>15901.0</v>
      </c>
      <c r="H270" s="7">
        <v>124.9</v>
      </c>
      <c r="I270" s="7">
        <v>2537.0</v>
      </c>
      <c r="J270" s="7">
        <v>0.049</v>
      </c>
      <c r="K270" s="7">
        <v>2036.0</v>
      </c>
      <c r="L270" s="7">
        <v>2489.76</v>
      </c>
      <c r="M270" s="7">
        <v>2604.0</v>
      </c>
      <c r="N270" s="7">
        <v>0.956</v>
      </c>
      <c r="O270" s="8">
        <v>2154.0</v>
      </c>
      <c r="P270" s="7">
        <v>4367.0</v>
      </c>
      <c r="Q270" s="7">
        <v>3496149.0</v>
      </c>
      <c r="R270" s="7">
        <v>1.25</v>
      </c>
      <c r="S270" s="7">
        <v>4650.0</v>
      </c>
      <c r="T270" s="7">
        <v>70.2</v>
      </c>
      <c r="U270" s="7">
        <v>38.0</v>
      </c>
      <c r="V270" s="7">
        <v>1.85</v>
      </c>
      <c r="W270" s="7">
        <v>70.0</v>
      </c>
      <c r="X270" s="7">
        <v>24.09</v>
      </c>
      <c r="Y270" s="7">
        <v>15130.0</v>
      </c>
      <c r="Z270" s="7">
        <v>1.59</v>
      </c>
      <c r="AA270" s="11">
        <v>13.0</v>
      </c>
      <c r="AB270" s="7"/>
      <c r="AC270" s="10"/>
      <c r="AD270" s="10"/>
    </row>
    <row r="271" ht="15.75" customHeight="1">
      <c r="A271" s="6">
        <v>44831.0</v>
      </c>
      <c r="B271" s="7">
        <f t="shared" si="1"/>
        <v>27</v>
      </c>
      <c r="C271" s="7">
        <f t="shared" si="2"/>
        <v>9</v>
      </c>
      <c r="D271" s="7">
        <v>6982.43</v>
      </c>
      <c r="E271" s="7">
        <v>7810.0</v>
      </c>
      <c r="F271" s="7">
        <v>8937.0</v>
      </c>
      <c r="G271" s="7">
        <v>16747.0</v>
      </c>
      <c r="H271" s="7">
        <v>139.94</v>
      </c>
      <c r="I271" s="7">
        <v>2668.0</v>
      </c>
      <c r="J271" s="7">
        <v>0.052</v>
      </c>
      <c r="K271" s="7">
        <v>2212.0</v>
      </c>
      <c r="L271" s="7">
        <v>2481.85</v>
      </c>
      <c r="M271" s="7">
        <v>2582.0</v>
      </c>
      <c r="N271" s="7">
        <v>0.961</v>
      </c>
      <c r="O271" s="8">
        <v>2188.0</v>
      </c>
      <c r="P271" s="7">
        <v>4271.54</v>
      </c>
      <c r="Q271" s="7">
        <v>2764563.0</v>
      </c>
      <c r="R271" s="7">
        <v>1.55</v>
      </c>
      <c r="S271" s="7">
        <v>4415.0</v>
      </c>
      <c r="T271" s="7">
        <v>69.1</v>
      </c>
      <c r="U271" s="7">
        <v>29.0</v>
      </c>
      <c r="V271" s="7">
        <v>2.38</v>
      </c>
      <c r="W271" s="7">
        <v>72.0</v>
      </c>
      <c r="X271" s="7">
        <v>20.0</v>
      </c>
      <c r="Y271" s="7">
        <v>13992.0</v>
      </c>
      <c r="Z271" s="7">
        <v>1.43</v>
      </c>
      <c r="AA271" s="11">
        <v>13.0</v>
      </c>
      <c r="AB271" s="7"/>
      <c r="AC271" s="10"/>
      <c r="AD271" s="10"/>
    </row>
    <row r="272" ht="15.75" customHeight="1">
      <c r="A272" s="6">
        <v>44832.0</v>
      </c>
      <c r="B272" s="7">
        <f t="shared" si="1"/>
        <v>28</v>
      </c>
      <c r="C272" s="7">
        <f t="shared" si="2"/>
        <v>9</v>
      </c>
      <c r="D272" s="7">
        <v>7184.28</v>
      </c>
      <c r="E272" s="7">
        <v>7654.0</v>
      </c>
      <c r="F272" s="7">
        <v>8606.0</v>
      </c>
      <c r="G272" s="7">
        <v>16260.0</v>
      </c>
      <c r="H272" s="7">
        <v>150.43</v>
      </c>
      <c r="I272" s="7">
        <v>2687.0</v>
      </c>
      <c r="J272" s="7">
        <v>0.056</v>
      </c>
      <c r="K272" s="7">
        <v>2078.0</v>
      </c>
      <c r="L272" s="7">
        <v>2832.68</v>
      </c>
      <c r="M272" s="7">
        <v>2735.0</v>
      </c>
      <c r="N272" s="7">
        <v>1.036</v>
      </c>
      <c r="O272" s="8">
        <v>2150.0</v>
      </c>
      <c r="P272" s="7">
        <v>4080.45</v>
      </c>
      <c r="Q272" s="7">
        <v>2399436.0</v>
      </c>
      <c r="R272" s="7">
        <v>1.7</v>
      </c>
      <c r="S272" s="7">
        <v>4284.0</v>
      </c>
      <c r="T272" s="7">
        <v>69.72</v>
      </c>
      <c r="U272" s="7">
        <v>30.0</v>
      </c>
      <c r="V272" s="7">
        <v>2.32</v>
      </c>
      <c r="W272" s="7">
        <v>72.0</v>
      </c>
      <c r="X272" s="7">
        <v>51.0</v>
      </c>
      <c r="Y272" s="7">
        <v>44158.0</v>
      </c>
      <c r="Z272" s="7">
        <v>1.15</v>
      </c>
      <c r="AA272" s="11">
        <v>43.0</v>
      </c>
      <c r="AB272" s="7"/>
      <c r="AC272" s="10"/>
      <c r="AD272" s="10"/>
    </row>
    <row r="273" ht="15.75" customHeight="1">
      <c r="A273" s="6">
        <v>44833.0</v>
      </c>
      <c r="B273" s="7">
        <f t="shared" si="1"/>
        <v>29</v>
      </c>
      <c r="C273" s="7">
        <f t="shared" si="2"/>
        <v>9</v>
      </c>
      <c r="D273" s="7">
        <v>7356.2</v>
      </c>
      <c r="E273" s="7">
        <v>8587.0</v>
      </c>
      <c r="F273" s="7">
        <v>7957.0</v>
      </c>
      <c r="G273" s="7">
        <v>16544.0</v>
      </c>
      <c r="H273" s="7">
        <v>133.47</v>
      </c>
      <c r="I273" s="7">
        <v>2696.0</v>
      </c>
      <c r="J273" s="7">
        <v>0.05</v>
      </c>
      <c r="K273" s="7">
        <v>2034.0</v>
      </c>
      <c r="L273" s="7">
        <v>2760.16</v>
      </c>
      <c r="M273" s="7">
        <v>2636.0</v>
      </c>
      <c r="N273" s="7">
        <v>1.047</v>
      </c>
      <c r="O273" s="8">
        <v>2042.0</v>
      </c>
      <c r="P273" s="7">
        <v>4334.33</v>
      </c>
      <c r="Q273" s="7">
        <v>2462489.0</v>
      </c>
      <c r="R273" s="7">
        <v>1.76</v>
      </c>
      <c r="S273" s="7">
        <v>3886.0</v>
      </c>
      <c r="T273" s="7">
        <v>68.24</v>
      </c>
      <c r="U273" s="7">
        <v>28.0</v>
      </c>
      <c r="V273" s="7">
        <v>2.44</v>
      </c>
      <c r="W273" s="7">
        <v>74.0</v>
      </c>
      <c r="X273" s="7">
        <v>60.0</v>
      </c>
      <c r="Y273" s="7">
        <v>28173.0</v>
      </c>
      <c r="Z273" s="7">
        <v>2.13</v>
      </c>
      <c r="AA273" s="11">
        <v>21.0</v>
      </c>
      <c r="AB273" s="7"/>
      <c r="AC273" s="10"/>
      <c r="AD273" s="10"/>
    </row>
    <row r="274" ht="15.75" customHeight="1">
      <c r="A274" s="6">
        <v>44834.0</v>
      </c>
      <c r="B274" s="7">
        <f t="shared" si="1"/>
        <v>30</v>
      </c>
      <c r="C274" s="7">
        <f t="shared" si="2"/>
        <v>9</v>
      </c>
      <c r="D274" s="7">
        <v>6886.59</v>
      </c>
      <c r="E274" s="7">
        <v>7926.0</v>
      </c>
      <c r="F274" s="7">
        <v>8128.0</v>
      </c>
      <c r="G274" s="7">
        <v>16054.0</v>
      </c>
      <c r="H274" s="7">
        <v>151.56</v>
      </c>
      <c r="I274" s="7">
        <v>2738.0</v>
      </c>
      <c r="J274" s="7">
        <v>0.055</v>
      </c>
      <c r="K274" s="7">
        <v>2115.0</v>
      </c>
      <c r="L274" s="7">
        <v>2339.42</v>
      </c>
      <c r="M274" s="7">
        <v>2353.0</v>
      </c>
      <c r="N274" s="7">
        <v>0.994</v>
      </c>
      <c r="O274" s="8">
        <v>1875.0</v>
      </c>
      <c r="P274" s="7">
        <v>4275.14</v>
      </c>
      <c r="Q274" s="7">
        <v>2503356.0</v>
      </c>
      <c r="R274" s="7">
        <v>1.71</v>
      </c>
      <c r="S274" s="7">
        <v>4150.0</v>
      </c>
      <c r="T274" s="7">
        <v>66.86</v>
      </c>
      <c r="U274" s="7">
        <v>35.0</v>
      </c>
      <c r="V274" s="7">
        <v>1.91</v>
      </c>
      <c r="W274" s="7">
        <v>73.0</v>
      </c>
      <c r="X274" s="7">
        <v>53.61</v>
      </c>
      <c r="Y274" s="7">
        <v>18066.0</v>
      </c>
      <c r="Z274" s="7">
        <v>2.97</v>
      </c>
      <c r="AA274" s="11">
        <v>19.0</v>
      </c>
      <c r="AB274" s="7"/>
      <c r="AC274" s="10"/>
      <c r="AD274" s="10"/>
    </row>
    <row r="275" ht="15.75" customHeight="1">
      <c r="A275" s="6">
        <v>44835.0</v>
      </c>
      <c r="B275" s="7">
        <f t="shared" si="1"/>
        <v>1</v>
      </c>
      <c r="C275" s="7">
        <f t="shared" si="2"/>
        <v>10</v>
      </c>
      <c r="D275" s="7">
        <v>6569.79</v>
      </c>
      <c r="E275" s="7">
        <v>6361.0</v>
      </c>
      <c r="F275" s="7">
        <v>8458.0</v>
      </c>
      <c r="G275" s="7">
        <v>14819.0</v>
      </c>
      <c r="H275" s="7">
        <v>108.24</v>
      </c>
      <c r="I275" s="7">
        <v>2236.0</v>
      </c>
      <c r="J275" s="7">
        <v>0.048</v>
      </c>
      <c r="K275" s="7">
        <v>1744.0</v>
      </c>
      <c r="L275" s="7">
        <v>2538.05</v>
      </c>
      <c r="M275" s="7">
        <v>2695.0</v>
      </c>
      <c r="N275" s="7">
        <v>0.942</v>
      </c>
      <c r="O275" s="8">
        <v>2097.0</v>
      </c>
      <c r="P275" s="7">
        <v>3888.5</v>
      </c>
      <c r="Q275" s="7">
        <v>2639980.0</v>
      </c>
      <c r="R275" s="7">
        <v>1.47</v>
      </c>
      <c r="S275" s="7">
        <v>4587.0</v>
      </c>
      <c r="T275" s="7">
        <v>0.0</v>
      </c>
      <c r="U275" s="7">
        <v>0.0</v>
      </c>
      <c r="V275" s="7">
        <v>0.0</v>
      </c>
      <c r="W275" s="7">
        <v>83.0</v>
      </c>
      <c r="X275" s="7">
        <v>35.0</v>
      </c>
      <c r="Y275" s="7">
        <v>8252.0</v>
      </c>
      <c r="Z275" s="7">
        <v>4.24</v>
      </c>
      <c r="AA275" s="11">
        <v>0.0</v>
      </c>
      <c r="AB275" s="7"/>
      <c r="AC275" s="10"/>
      <c r="AD275" s="10"/>
    </row>
    <row r="276" ht="15.75" customHeight="1">
      <c r="A276" s="6">
        <v>44836.0</v>
      </c>
      <c r="B276" s="7">
        <f t="shared" si="1"/>
        <v>2</v>
      </c>
      <c r="C276" s="7">
        <f t="shared" si="2"/>
        <v>10</v>
      </c>
      <c r="D276" s="7">
        <v>7547.92</v>
      </c>
      <c r="E276" s="7">
        <v>6665.0</v>
      </c>
      <c r="F276" s="7">
        <v>9112.0</v>
      </c>
      <c r="G276" s="7">
        <v>15777.0</v>
      </c>
      <c r="H276" s="7">
        <v>112.56</v>
      </c>
      <c r="I276" s="7">
        <v>2640.0</v>
      </c>
      <c r="J276" s="7">
        <v>0.043</v>
      </c>
      <c r="K276" s="7">
        <v>1949.0</v>
      </c>
      <c r="L276" s="7">
        <v>3334.62</v>
      </c>
      <c r="M276" s="7">
        <v>3496.0</v>
      </c>
      <c r="N276" s="7">
        <v>0.954</v>
      </c>
      <c r="O276" s="8">
        <v>2611.0</v>
      </c>
      <c r="P276" s="7">
        <v>4065.74</v>
      </c>
      <c r="Q276" s="7">
        <v>3051437.0</v>
      </c>
      <c r="R276" s="7">
        <v>1.33</v>
      </c>
      <c r="S276" s="7">
        <v>4740.0</v>
      </c>
      <c r="T276" s="7">
        <v>0.0</v>
      </c>
      <c r="U276" s="7">
        <v>0.0</v>
      </c>
      <c r="V276" s="7">
        <v>0.0</v>
      </c>
      <c r="W276" s="7">
        <v>71.0</v>
      </c>
      <c r="X276" s="7">
        <v>35.0</v>
      </c>
      <c r="Y276" s="7">
        <v>9527.0</v>
      </c>
      <c r="Z276" s="7">
        <v>3.67</v>
      </c>
      <c r="AA276" s="11">
        <v>0.0</v>
      </c>
      <c r="AB276" s="7"/>
      <c r="AC276" s="10"/>
      <c r="AD276" s="10"/>
    </row>
    <row r="277" ht="15.75" customHeight="1">
      <c r="A277" s="6">
        <v>44837.0</v>
      </c>
      <c r="B277" s="7">
        <f t="shared" si="1"/>
        <v>3</v>
      </c>
      <c r="C277" s="7">
        <f t="shared" si="2"/>
        <v>10</v>
      </c>
      <c r="D277" s="7">
        <v>8148.33</v>
      </c>
      <c r="E277" s="7">
        <v>7599.0</v>
      </c>
      <c r="F277" s="7">
        <v>9673.0</v>
      </c>
      <c r="G277" s="7">
        <v>17272.0</v>
      </c>
      <c r="H277" s="7">
        <v>165.36</v>
      </c>
      <c r="I277" s="7">
        <v>2815.0</v>
      </c>
      <c r="J277" s="7">
        <v>0.059</v>
      </c>
      <c r="K277" s="7">
        <v>2271.0</v>
      </c>
      <c r="L277" s="7">
        <v>3594.38</v>
      </c>
      <c r="M277" s="7">
        <v>3301.0</v>
      </c>
      <c r="N277" s="7">
        <v>1.089</v>
      </c>
      <c r="O277" s="8">
        <v>2704.0</v>
      </c>
      <c r="P277" s="7">
        <v>4353.59</v>
      </c>
      <c r="Q277" s="7">
        <v>3308655.0</v>
      </c>
      <c r="R277" s="7">
        <v>1.32</v>
      </c>
      <c r="S277" s="7">
        <v>4617.0</v>
      </c>
      <c r="T277" s="7">
        <v>0.0</v>
      </c>
      <c r="U277" s="7">
        <v>0.0</v>
      </c>
      <c r="V277" s="7">
        <v>0.0</v>
      </c>
      <c r="W277" s="7">
        <v>101.0</v>
      </c>
      <c r="X277" s="7">
        <v>35.0</v>
      </c>
      <c r="Y277" s="7">
        <v>9639.0</v>
      </c>
      <c r="Z277" s="7">
        <v>3.63</v>
      </c>
      <c r="AA277" s="11">
        <v>0.0</v>
      </c>
      <c r="AB277" s="7"/>
      <c r="AC277" s="10"/>
      <c r="AD277" s="10"/>
    </row>
    <row r="278" ht="15.75" customHeight="1">
      <c r="A278" s="6">
        <v>44838.0</v>
      </c>
      <c r="B278" s="7">
        <f t="shared" si="1"/>
        <v>4</v>
      </c>
      <c r="C278" s="7">
        <f t="shared" si="2"/>
        <v>10</v>
      </c>
      <c r="D278" s="7">
        <v>9036.37</v>
      </c>
      <c r="E278" s="7">
        <v>7325.0</v>
      </c>
      <c r="F278" s="7">
        <v>10247.0</v>
      </c>
      <c r="G278" s="7">
        <v>17572.0</v>
      </c>
      <c r="H278" s="7">
        <v>190.96</v>
      </c>
      <c r="I278" s="7">
        <v>2777.0</v>
      </c>
      <c r="J278" s="7">
        <v>0.069</v>
      </c>
      <c r="K278" s="7">
        <v>2289.0</v>
      </c>
      <c r="L278" s="7">
        <v>3782.4</v>
      </c>
      <c r="M278" s="7">
        <v>3311.0</v>
      </c>
      <c r="N278" s="7">
        <v>1.142</v>
      </c>
      <c r="O278" s="8">
        <v>2689.0</v>
      </c>
      <c r="P278" s="7">
        <v>5028.01</v>
      </c>
      <c r="Q278" s="7">
        <v>3562419.0</v>
      </c>
      <c r="R278" s="7">
        <v>1.41</v>
      </c>
      <c r="S278" s="7">
        <v>5301.0</v>
      </c>
      <c r="T278" s="7">
        <v>0.0</v>
      </c>
      <c r="U278" s="7">
        <v>0.0</v>
      </c>
      <c r="V278" s="7">
        <v>0.0</v>
      </c>
      <c r="W278" s="7">
        <v>86.0</v>
      </c>
      <c r="X278" s="7">
        <v>35.0</v>
      </c>
      <c r="Y278" s="7">
        <v>10398.0</v>
      </c>
      <c r="Z278" s="7">
        <v>3.37</v>
      </c>
      <c r="AA278" s="11">
        <v>2.0</v>
      </c>
      <c r="AB278" s="7"/>
      <c r="AC278" s="10"/>
      <c r="AD278" s="10"/>
    </row>
    <row r="279" ht="15.75" customHeight="1">
      <c r="A279" s="6">
        <v>44839.0</v>
      </c>
      <c r="B279" s="7">
        <f t="shared" si="1"/>
        <v>5</v>
      </c>
      <c r="C279" s="7">
        <f t="shared" si="2"/>
        <v>10</v>
      </c>
      <c r="D279" s="7">
        <v>8471.2</v>
      </c>
      <c r="E279" s="7">
        <v>7384.0</v>
      </c>
      <c r="F279" s="7">
        <v>9289.0</v>
      </c>
      <c r="G279" s="7">
        <v>16673.0</v>
      </c>
      <c r="H279" s="7">
        <v>162.99</v>
      </c>
      <c r="I279" s="7">
        <v>2617.0</v>
      </c>
      <c r="J279" s="7">
        <v>0.062</v>
      </c>
      <c r="K279" s="7">
        <v>2149.0</v>
      </c>
      <c r="L279" s="7">
        <v>3701.9</v>
      </c>
      <c r="M279" s="7">
        <v>3522.0</v>
      </c>
      <c r="N279" s="7">
        <v>1.051</v>
      </c>
      <c r="O279" s="8">
        <v>2751.0</v>
      </c>
      <c r="P279" s="7">
        <v>4571.31</v>
      </c>
      <c r="Q279" s="7">
        <v>2884948.0</v>
      </c>
      <c r="R279" s="7">
        <v>1.58</v>
      </c>
      <c r="S279" s="7">
        <v>4376.0</v>
      </c>
      <c r="T279" s="7">
        <v>0.0</v>
      </c>
      <c r="U279" s="7">
        <v>0.0</v>
      </c>
      <c r="V279" s="7">
        <v>0.0</v>
      </c>
      <c r="W279" s="7">
        <v>91.0</v>
      </c>
      <c r="X279" s="7">
        <v>35.0</v>
      </c>
      <c r="Y279" s="7">
        <v>10430.0</v>
      </c>
      <c r="Z279" s="7">
        <v>3.36</v>
      </c>
      <c r="AA279" s="11">
        <v>1.0</v>
      </c>
      <c r="AB279" s="7"/>
      <c r="AC279" s="10"/>
      <c r="AD279" s="10"/>
    </row>
    <row r="280" ht="15.75" customHeight="1">
      <c r="A280" s="6">
        <v>44840.0</v>
      </c>
      <c r="B280" s="7">
        <f t="shared" si="1"/>
        <v>6</v>
      </c>
      <c r="C280" s="7">
        <f t="shared" si="2"/>
        <v>10</v>
      </c>
      <c r="D280" s="7">
        <v>8499.1</v>
      </c>
      <c r="E280" s="7">
        <v>7134.0</v>
      </c>
      <c r="F280" s="7">
        <v>9481.0</v>
      </c>
      <c r="G280" s="7">
        <v>16615.0</v>
      </c>
      <c r="H280" s="7">
        <v>155.14</v>
      </c>
      <c r="I280" s="7">
        <v>2535.0</v>
      </c>
      <c r="J280" s="7">
        <v>0.061</v>
      </c>
      <c r="K280" s="7">
        <v>2087.0</v>
      </c>
      <c r="L280" s="7">
        <v>3700.05</v>
      </c>
      <c r="M280" s="7">
        <v>3221.0</v>
      </c>
      <c r="N280" s="7">
        <v>1.149</v>
      </c>
      <c r="O280" s="8">
        <v>2659.0</v>
      </c>
      <c r="P280" s="7">
        <v>4608.91</v>
      </c>
      <c r="Q280" s="7">
        <v>2952524.0</v>
      </c>
      <c r="R280" s="7">
        <v>1.56</v>
      </c>
      <c r="S280" s="7">
        <v>4692.0</v>
      </c>
      <c r="T280" s="7">
        <v>0.0</v>
      </c>
      <c r="U280" s="7">
        <v>0.0</v>
      </c>
      <c r="V280" s="7">
        <v>0.0</v>
      </c>
      <c r="W280" s="7">
        <v>102.0</v>
      </c>
      <c r="X280" s="7">
        <v>35.0</v>
      </c>
      <c r="Y280" s="7">
        <v>8534.0</v>
      </c>
      <c r="Z280" s="7">
        <v>4.1</v>
      </c>
      <c r="AA280" s="11">
        <v>0.0</v>
      </c>
      <c r="AB280" s="7"/>
      <c r="AC280" s="10"/>
      <c r="AD280" s="10"/>
    </row>
    <row r="281" ht="15.75" customHeight="1">
      <c r="A281" s="6">
        <v>44841.0</v>
      </c>
      <c r="B281" s="7">
        <f t="shared" si="1"/>
        <v>7</v>
      </c>
      <c r="C281" s="7">
        <f t="shared" si="2"/>
        <v>10</v>
      </c>
      <c r="D281" s="7">
        <v>8002.65</v>
      </c>
      <c r="E281" s="7">
        <v>5831.0</v>
      </c>
      <c r="F281" s="7">
        <v>8696.0</v>
      </c>
      <c r="G281" s="7">
        <v>14527.0</v>
      </c>
      <c r="H281" s="7">
        <v>140.74</v>
      </c>
      <c r="I281" s="7">
        <v>2560.0</v>
      </c>
      <c r="J281" s="7">
        <v>0.055</v>
      </c>
      <c r="K281" s="7">
        <v>2033.0</v>
      </c>
      <c r="L281" s="7">
        <v>3315.99</v>
      </c>
      <c r="M281" s="7">
        <v>2965.0</v>
      </c>
      <c r="N281" s="7">
        <v>1.118</v>
      </c>
      <c r="O281" s="8">
        <v>2337.0</v>
      </c>
      <c r="P281" s="7">
        <v>4510.92</v>
      </c>
      <c r="Q281" s="7">
        <v>2998812.0</v>
      </c>
      <c r="R281" s="7">
        <v>1.5</v>
      </c>
      <c r="S281" s="7">
        <v>4241.0</v>
      </c>
      <c r="T281" s="7">
        <v>0.0</v>
      </c>
      <c r="U281" s="7">
        <v>0.0</v>
      </c>
      <c r="V281" s="7">
        <v>0.0</v>
      </c>
      <c r="W281" s="7">
        <v>72.0</v>
      </c>
      <c r="X281" s="7">
        <v>35.0</v>
      </c>
      <c r="Y281" s="7">
        <v>11860.0</v>
      </c>
      <c r="Z281" s="7">
        <v>2.95</v>
      </c>
      <c r="AA281" s="11">
        <v>2.0</v>
      </c>
      <c r="AB281" s="7"/>
      <c r="AC281" s="10"/>
      <c r="AD281" s="10"/>
    </row>
    <row r="282" ht="15.75" customHeight="1">
      <c r="A282" s="6">
        <v>44842.0</v>
      </c>
      <c r="B282" s="7">
        <f t="shared" si="1"/>
        <v>8</v>
      </c>
      <c r="C282" s="7">
        <f t="shared" si="2"/>
        <v>10</v>
      </c>
      <c r="D282" s="7">
        <v>8303.19</v>
      </c>
      <c r="E282" s="7">
        <v>5423.0</v>
      </c>
      <c r="F282" s="7">
        <v>9223.0</v>
      </c>
      <c r="G282" s="7">
        <v>14646.0</v>
      </c>
      <c r="H282" s="7">
        <v>130.56</v>
      </c>
      <c r="I282" s="7">
        <v>2460.0</v>
      </c>
      <c r="J282" s="7">
        <v>0.053</v>
      </c>
      <c r="K282" s="7">
        <v>1848.0</v>
      </c>
      <c r="L282" s="7">
        <v>3444.1</v>
      </c>
      <c r="M282" s="7">
        <v>3227.0</v>
      </c>
      <c r="N282" s="7">
        <v>1.067</v>
      </c>
      <c r="O282" s="8">
        <v>2487.0</v>
      </c>
      <c r="P282" s="7">
        <v>4693.53</v>
      </c>
      <c r="Q282" s="7">
        <v>3069783.0</v>
      </c>
      <c r="R282" s="7">
        <v>1.53</v>
      </c>
      <c r="S282" s="7">
        <v>4898.0</v>
      </c>
      <c r="T282" s="7">
        <v>0.0</v>
      </c>
      <c r="U282" s="7">
        <v>0.0</v>
      </c>
      <c r="V282" s="7">
        <v>0.0</v>
      </c>
      <c r="W282" s="7">
        <v>66.0</v>
      </c>
      <c r="X282" s="7">
        <v>35.0</v>
      </c>
      <c r="Y282" s="7">
        <v>11175.0</v>
      </c>
      <c r="Z282" s="7">
        <v>3.13</v>
      </c>
      <c r="AA282" s="11">
        <v>0.0</v>
      </c>
      <c r="AB282" s="7"/>
      <c r="AC282" s="10"/>
      <c r="AD282" s="10"/>
    </row>
    <row r="283" ht="15.75" customHeight="1">
      <c r="A283" s="6">
        <v>44843.0</v>
      </c>
      <c r="B283" s="7">
        <f t="shared" si="1"/>
        <v>9</v>
      </c>
      <c r="C283" s="7">
        <f t="shared" si="2"/>
        <v>10</v>
      </c>
      <c r="D283" s="7">
        <v>10031.12</v>
      </c>
      <c r="E283" s="7">
        <v>6997.0</v>
      </c>
      <c r="F283" s="7">
        <v>11931.0</v>
      </c>
      <c r="G283" s="7">
        <v>18928.0</v>
      </c>
      <c r="H283" s="7">
        <v>161.25</v>
      </c>
      <c r="I283" s="7">
        <v>3020.0</v>
      </c>
      <c r="J283" s="7">
        <v>0.053</v>
      </c>
      <c r="K283" s="7">
        <v>2288.0</v>
      </c>
      <c r="L283" s="7">
        <v>4903.97</v>
      </c>
      <c r="M283" s="7">
        <v>4416.0</v>
      </c>
      <c r="N283" s="7">
        <v>1.111</v>
      </c>
      <c r="O283" s="8">
        <v>3368.0</v>
      </c>
      <c r="P283" s="7">
        <v>4930.94</v>
      </c>
      <c r="Q283" s="7">
        <v>3616969.0</v>
      </c>
      <c r="R283" s="7">
        <v>1.36</v>
      </c>
      <c r="S283" s="7">
        <v>6092.0</v>
      </c>
      <c r="T283" s="7">
        <v>0.0</v>
      </c>
      <c r="U283" s="7">
        <v>0.0</v>
      </c>
      <c r="V283" s="7">
        <v>0.0</v>
      </c>
      <c r="W283" s="7">
        <v>78.0</v>
      </c>
      <c r="X283" s="7">
        <v>34.96</v>
      </c>
      <c r="Y283" s="7">
        <v>17844.0</v>
      </c>
      <c r="Z283" s="7">
        <v>1.96</v>
      </c>
      <c r="AA283" s="11">
        <v>0.0</v>
      </c>
      <c r="AB283" s="7"/>
      <c r="AC283" s="10"/>
      <c r="AD283" s="10"/>
    </row>
    <row r="284" ht="15.75" customHeight="1">
      <c r="A284" s="6">
        <v>44844.0</v>
      </c>
      <c r="B284" s="7">
        <f t="shared" si="1"/>
        <v>10</v>
      </c>
      <c r="C284" s="7">
        <f t="shared" si="2"/>
        <v>10</v>
      </c>
      <c r="D284" s="7">
        <v>8428.12</v>
      </c>
      <c r="E284" s="7">
        <v>6540.0</v>
      </c>
      <c r="F284" s="7">
        <v>9842.0</v>
      </c>
      <c r="G284" s="7">
        <v>16382.0</v>
      </c>
      <c r="H284" s="7">
        <v>166.67</v>
      </c>
      <c r="I284" s="7">
        <v>2762.0</v>
      </c>
      <c r="J284" s="7">
        <v>0.06</v>
      </c>
      <c r="K284" s="7">
        <v>2195.0</v>
      </c>
      <c r="L284" s="7">
        <v>3773.07</v>
      </c>
      <c r="M284" s="7">
        <v>3422.0</v>
      </c>
      <c r="N284" s="7">
        <v>1.103</v>
      </c>
      <c r="O284" s="8">
        <v>2737.0</v>
      </c>
      <c r="P284" s="7">
        <v>4453.38</v>
      </c>
      <c r="Q284" s="7">
        <v>3345604.0</v>
      </c>
      <c r="R284" s="7">
        <v>1.33</v>
      </c>
      <c r="S284" s="7">
        <v>4972.0</v>
      </c>
      <c r="T284" s="7">
        <v>0.0</v>
      </c>
      <c r="U284" s="7">
        <v>0.0</v>
      </c>
      <c r="V284" s="7">
        <v>0.0</v>
      </c>
      <c r="W284" s="7">
        <v>108.0</v>
      </c>
      <c r="X284" s="7">
        <v>35.0</v>
      </c>
      <c r="Y284" s="7">
        <v>11402.0</v>
      </c>
      <c r="Z284" s="7">
        <v>3.07</v>
      </c>
      <c r="AA284" s="11">
        <v>0.0</v>
      </c>
      <c r="AB284" s="7"/>
      <c r="AC284" s="10"/>
      <c r="AD284" s="10"/>
    </row>
    <row r="285" ht="15.75" customHeight="1">
      <c r="A285" s="6">
        <v>44845.0</v>
      </c>
      <c r="B285" s="7">
        <f t="shared" si="1"/>
        <v>11</v>
      </c>
      <c r="C285" s="7">
        <f t="shared" si="2"/>
        <v>10</v>
      </c>
      <c r="D285" s="7">
        <v>8398.68</v>
      </c>
      <c r="E285" s="7">
        <v>7054.0</v>
      </c>
      <c r="F285" s="7">
        <v>9692.0</v>
      </c>
      <c r="G285" s="7">
        <v>16746.0</v>
      </c>
      <c r="H285" s="7">
        <v>258.93</v>
      </c>
      <c r="I285" s="7">
        <v>2709.0</v>
      </c>
      <c r="J285" s="7">
        <v>0.096</v>
      </c>
      <c r="K285" s="7">
        <v>2274.0</v>
      </c>
      <c r="L285" s="7">
        <v>3550.41</v>
      </c>
      <c r="M285" s="7">
        <v>3164.0</v>
      </c>
      <c r="N285" s="7">
        <v>1.122</v>
      </c>
      <c r="O285" s="8">
        <v>2642.0</v>
      </c>
      <c r="P285" s="7">
        <v>4554.34</v>
      </c>
      <c r="Q285" s="7">
        <v>3116225.0</v>
      </c>
      <c r="R285" s="7">
        <v>1.46</v>
      </c>
      <c r="S285" s="7">
        <v>4699.0</v>
      </c>
      <c r="T285" s="7">
        <v>0.0</v>
      </c>
      <c r="U285" s="7">
        <v>0.0</v>
      </c>
      <c r="V285" s="7">
        <v>0.0</v>
      </c>
      <c r="W285" s="7">
        <v>74.0</v>
      </c>
      <c r="X285" s="7">
        <v>35.0</v>
      </c>
      <c r="Y285" s="7">
        <v>8801.0</v>
      </c>
      <c r="Z285" s="7">
        <v>3.98</v>
      </c>
      <c r="AA285" s="11">
        <v>0.0</v>
      </c>
      <c r="AB285" s="7"/>
      <c r="AC285" s="10"/>
      <c r="AD285" s="10"/>
    </row>
    <row r="286" ht="15.75" customHeight="1">
      <c r="A286" s="6">
        <v>44846.0</v>
      </c>
      <c r="B286" s="7">
        <f t="shared" si="1"/>
        <v>12</v>
      </c>
      <c r="C286" s="7">
        <f t="shared" si="2"/>
        <v>10</v>
      </c>
      <c r="D286" s="7">
        <v>8061.18</v>
      </c>
      <c r="E286" s="7">
        <v>7023.0</v>
      </c>
      <c r="F286" s="7">
        <v>8800.0</v>
      </c>
      <c r="G286" s="7">
        <v>15823.0</v>
      </c>
      <c r="H286" s="7">
        <v>183.94</v>
      </c>
      <c r="I286" s="7">
        <v>2509.0</v>
      </c>
      <c r="J286" s="7">
        <v>0.073</v>
      </c>
      <c r="K286" s="7">
        <v>2043.0</v>
      </c>
      <c r="L286" s="7">
        <v>3547.12</v>
      </c>
      <c r="M286" s="7">
        <v>3115.0</v>
      </c>
      <c r="N286" s="7">
        <v>1.139</v>
      </c>
      <c r="O286" s="8">
        <v>2519.0</v>
      </c>
      <c r="P286" s="7">
        <v>4295.12</v>
      </c>
      <c r="Q286" s="7">
        <v>2940487.0</v>
      </c>
      <c r="R286" s="7">
        <v>1.46</v>
      </c>
      <c r="S286" s="7">
        <v>4414.0</v>
      </c>
      <c r="T286" s="7">
        <v>0.0</v>
      </c>
      <c r="U286" s="7">
        <v>0.0</v>
      </c>
      <c r="V286" s="7">
        <v>0.0</v>
      </c>
      <c r="W286" s="7">
        <v>53.0</v>
      </c>
      <c r="X286" s="7">
        <v>35.0</v>
      </c>
      <c r="Y286" s="7">
        <v>7940.0</v>
      </c>
      <c r="Z286" s="7">
        <v>4.41</v>
      </c>
      <c r="AA286" s="11">
        <v>0.0</v>
      </c>
      <c r="AB286" s="7"/>
      <c r="AC286" s="10"/>
      <c r="AD286" s="10"/>
    </row>
    <row r="287" ht="15.75" customHeight="1">
      <c r="A287" s="6">
        <v>44847.0</v>
      </c>
      <c r="B287" s="7">
        <f t="shared" si="1"/>
        <v>13</v>
      </c>
      <c r="C287" s="7">
        <f t="shared" si="2"/>
        <v>10</v>
      </c>
      <c r="D287" s="7">
        <v>7793.02</v>
      </c>
      <c r="E287" s="7">
        <v>9299.0</v>
      </c>
      <c r="F287" s="7">
        <v>9192.0</v>
      </c>
      <c r="G287" s="7">
        <v>18491.0</v>
      </c>
      <c r="H287" s="7">
        <v>223.35</v>
      </c>
      <c r="I287" s="7">
        <v>2617.0</v>
      </c>
      <c r="J287" s="7">
        <v>0.085</v>
      </c>
      <c r="K287" s="7">
        <v>2128.0</v>
      </c>
      <c r="L287" s="7">
        <v>3475.57</v>
      </c>
      <c r="M287" s="7">
        <v>3091.0</v>
      </c>
      <c r="N287" s="7">
        <v>1.124</v>
      </c>
      <c r="O287" s="8">
        <v>2507.0</v>
      </c>
      <c r="P287" s="7">
        <v>4059.1</v>
      </c>
      <c r="Q287" s="7">
        <v>2800526.0</v>
      </c>
      <c r="R287" s="7">
        <v>1.45</v>
      </c>
      <c r="S287" s="7">
        <v>4434.0</v>
      </c>
      <c r="T287" s="7">
        <v>0.0</v>
      </c>
      <c r="U287" s="7">
        <v>0.0</v>
      </c>
      <c r="V287" s="7">
        <v>0.0</v>
      </c>
      <c r="W287" s="7">
        <v>77.0</v>
      </c>
      <c r="X287" s="7">
        <v>35.0</v>
      </c>
      <c r="Y287" s="7">
        <v>8825.0</v>
      </c>
      <c r="Z287" s="7">
        <v>3.97</v>
      </c>
      <c r="AA287" s="11">
        <v>0.0</v>
      </c>
      <c r="AB287" s="7"/>
      <c r="AC287" s="10"/>
      <c r="AD287" s="10"/>
    </row>
    <row r="288" ht="15.75" customHeight="1">
      <c r="A288" s="6">
        <v>44848.0</v>
      </c>
      <c r="B288" s="7">
        <f t="shared" si="1"/>
        <v>14</v>
      </c>
      <c r="C288" s="7">
        <f t="shared" si="2"/>
        <v>10</v>
      </c>
      <c r="D288" s="7">
        <v>7431.77</v>
      </c>
      <c r="E288" s="7">
        <v>7477.0</v>
      </c>
      <c r="F288" s="7">
        <v>8497.0</v>
      </c>
      <c r="G288" s="7">
        <v>15974.0</v>
      </c>
      <c r="H288" s="7">
        <v>223.58</v>
      </c>
      <c r="I288" s="7">
        <v>2432.0</v>
      </c>
      <c r="J288" s="7">
        <v>0.092</v>
      </c>
      <c r="K288" s="7">
        <v>1949.0</v>
      </c>
      <c r="L288" s="7">
        <v>2959.21</v>
      </c>
      <c r="M288" s="7">
        <v>2796.0</v>
      </c>
      <c r="N288" s="7">
        <v>1.058</v>
      </c>
      <c r="O288" s="8">
        <v>2340.0</v>
      </c>
      <c r="P288" s="7">
        <v>4213.98</v>
      </c>
      <c r="Q288" s="7">
        <v>2714710.0</v>
      </c>
      <c r="R288" s="7">
        <v>1.55</v>
      </c>
      <c r="S288" s="7">
        <v>4219.0</v>
      </c>
      <c r="T288" s="7">
        <v>0.0</v>
      </c>
      <c r="U288" s="7">
        <v>0.0</v>
      </c>
      <c r="V288" s="7">
        <v>0.0</v>
      </c>
      <c r="W288" s="7">
        <v>57.0</v>
      </c>
      <c r="X288" s="7">
        <v>35.0</v>
      </c>
      <c r="Y288" s="7">
        <v>11056.0</v>
      </c>
      <c r="Z288" s="7">
        <v>3.17</v>
      </c>
      <c r="AA288" s="11">
        <v>0.0</v>
      </c>
      <c r="AB288" s="7"/>
      <c r="AC288" s="10"/>
      <c r="AD288" s="10"/>
    </row>
    <row r="289" ht="15.75" customHeight="1">
      <c r="A289" s="6">
        <v>44849.0</v>
      </c>
      <c r="B289" s="7">
        <f t="shared" si="1"/>
        <v>15</v>
      </c>
      <c r="C289" s="7">
        <f t="shared" si="2"/>
        <v>10</v>
      </c>
      <c r="D289" s="7">
        <v>7892.95</v>
      </c>
      <c r="E289" s="7">
        <v>6457.0</v>
      </c>
      <c r="F289" s="7">
        <v>9225.0</v>
      </c>
      <c r="G289" s="7">
        <v>15682.0</v>
      </c>
      <c r="H289" s="7">
        <v>238.31</v>
      </c>
      <c r="I289" s="7">
        <v>2449.0</v>
      </c>
      <c r="J289" s="7">
        <v>0.097</v>
      </c>
      <c r="K289" s="7">
        <v>1880.0</v>
      </c>
      <c r="L289" s="7">
        <v>3033.24</v>
      </c>
      <c r="M289" s="7">
        <v>3151.0</v>
      </c>
      <c r="N289" s="7">
        <v>0.963</v>
      </c>
      <c r="O289" s="8">
        <v>2494.0</v>
      </c>
      <c r="P289" s="7">
        <v>4586.4</v>
      </c>
      <c r="Q289" s="7">
        <v>3008430.0</v>
      </c>
      <c r="R289" s="7">
        <v>1.52</v>
      </c>
      <c r="S289" s="7">
        <v>4765.0</v>
      </c>
      <c r="T289" s="7">
        <v>0.0</v>
      </c>
      <c r="U289" s="7">
        <v>0.0</v>
      </c>
      <c r="V289" s="7">
        <v>0.0</v>
      </c>
      <c r="W289" s="7">
        <v>48.0</v>
      </c>
      <c r="X289" s="7">
        <v>35.0</v>
      </c>
      <c r="Y289" s="7">
        <v>11170.0</v>
      </c>
      <c r="Z289" s="7">
        <v>3.13</v>
      </c>
      <c r="AA289" s="11">
        <v>0.0</v>
      </c>
      <c r="AB289" s="7"/>
      <c r="AC289" s="10"/>
      <c r="AD289" s="10"/>
    </row>
    <row r="290" ht="15.75" customHeight="1">
      <c r="A290" s="6">
        <v>44850.0</v>
      </c>
      <c r="B290" s="7">
        <f t="shared" si="1"/>
        <v>16</v>
      </c>
      <c r="C290" s="7">
        <f t="shared" si="2"/>
        <v>10</v>
      </c>
      <c r="D290" s="7">
        <v>8904.16</v>
      </c>
      <c r="E290" s="7">
        <v>7100.0</v>
      </c>
      <c r="F290" s="7">
        <v>10890.0</v>
      </c>
      <c r="G290" s="7">
        <v>17990.0</v>
      </c>
      <c r="H290" s="7">
        <v>250.41</v>
      </c>
      <c r="I290" s="7">
        <v>2960.0</v>
      </c>
      <c r="J290" s="7">
        <v>0.085</v>
      </c>
      <c r="K290" s="7">
        <v>2261.0</v>
      </c>
      <c r="L290" s="7">
        <v>3925.72</v>
      </c>
      <c r="M290" s="7">
        <v>4005.0</v>
      </c>
      <c r="N290" s="7">
        <v>0.98</v>
      </c>
      <c r="O290" s="8">
        <v>3076.0</v>
      </c>
      <c r="P290" s="7">
        <v>4693.03</v>
      </c>
      <c r="Q290" s="7">
        <v>3306663.0</v>
      </c>
      <c r="R290" s="7">
        <v>1.42</v>
      </c>
      <c r="S290" s="7">
        <v>5330.0</v>
      </c>
      <c r="T290" s="7">
        <v>0.0</v>
      </c>
      <c r="U290" s="7">
        <v>0.0</v>
      </c>
      <c r="V290" s="7">
        <v>0.0</v>
      </c>
      <c r="W290" s="7">
        <v>60.0</v>
      </c>
      <c r="X290" s="7">
        <v>35.0</v>
      </c>
      <c r="Y290" s="7">
        <v>14861.0</v>
      </c>
      <c r="Z290" s="7">
        <v>2.36</v>
      </c>
      <c r="AA290" s="11">
        <v>0.0</v>
      </c>
      <c r="AB290" s="7"/>
      <c r="AC290" s="10"/>
      <c r="AD290" s="10"/>
    </row>
    <row r="291" ht="15.75" customHeight="1">
      <c r="A291" s="6">
        <v>44851.0</v>
      </c>
      <c r="B291" s="7">
        <f t="shared" si="1"/>
        <v>17</v>
      </c>
      <c r="C291" s="7">
        <f t="shared" si="2"/>
        <v>10</v>
      </c>
      <c r="D291" s="7">
        <v>8491.73</v>
      </c>
      <c r="E291" s="7">
        <v>7785.0</v>
      </c>
      <c r="F291" s="7">
        <v>10060.0</v>
      </c>
      <c r="G291" s="7">
        <v>17845.0</v>
      </c>
      <c r="H291" s="7">
        <v>268.02</v>
      </c>
      <c r="I291" s="7">
        <v>2927.0</v>
      </c>
      <c r="J291" s="7">
        <v>0.092</v>
      </c>
      <c r="K291" s="7">
        <v>2347.0</v>
      </c>
      <c r="L291" s="7">
        <v>3774.69</v>
      </c>
      <c r="M291" s="7">
        <v>3537.0</v>
      </c>
      <c r="N291" s="7">
        <v>1.067</v>
      </c>
      <c r="O291" s="8">
        <v>2887.0</v>
      </c>
      <c r="P291" s="7">
        <v>4414.02</v>
      </c>
      <c r="Q291" s="7">
        <v>3076345.0</v>
      </c>
      <c r="R291" s="7">
        <v>1.43</v>
      </c>
      <c r="S291" s="7">
        <v>4724.0</v>
      </c>
      <c r="T291" s="7">
        <v>0.0</v>
      </c>
      <c r="U291" s="7">
        <v>0.0</v>
      </c>
      <c r="V291" s="7">
        <v>0.0</v>
      </c>
      <c r="W291" s="7">
        <v>82.0</v>
      </c>
      <c r="X291" s="7">
        <v>35.0</v>
      </c>
      <c r="Y291" s="7">
        <v>12592.0</v>
      </c>
      <c r="Z291" s="7">
        <v>2.78</v>
      </c>
      <c r="AA291" s="11">
        <v>0.0</v>
      </c>
      <c r="AB291" s="7"/>
      <c r="AC291" s="10"/>
      <c r="AD291" s="10"/>
    </row>
    <row r="292" ht="15.75" customHeight="1">
      <c r="A292" s="6">
        <v>44852.0</v>
      </c>
      <c r="B292" s="7">
        <f t="shared" si="1"/>
        <v>18</v>
      </c>
      <c r="C292" s="7">
        <f t="shared" si="2"/>
        <v>10</v>
      </c>
      <c r="D292" s="7">
        <v>8007.18</v>
      </c>
      <c r="E292" s="7">
        <v>8394.0</v>
      </c>
      <c r="F292" s="7">
        <v>8829.0</v>
      </c>
      <c r="G292" s="7">
        <v>17223.0</v>
      </c>
      <c r="H292" s="7">
        <v>380.78</v>
      </c>
      <c r="I292" s="7">
        <v>3339.0</v>
      </c>
      <c r="J292" s="7">
        <v>0.114</v>
      </c>
      <c r="K292" s="7">
        <v>2634.0</v>
      </c>
      <c r="L292" s="7">
        <v>3486.75</v>
      </c>
      <c r="M292" s="7">
        <v>2951.0</v>
      </c>
      <c r="N292" s="7">
        <v>1.182</v>
      </c>
      <c r="O292" s="8">
        <v>2455.0</v>
      </c>
      <c r="P292" s="7">
        <v>4104.65</v>
      </c>
      <c r="Q292" s="7">
        <v>2636706.0</v>
      </c>
      <c r="R292" s="7">
        <v>1.56</v>
      </c>
      <c r="S292" s="7">
        <v>3828.0</v>
      </c>
      <c r="T292" s="7">
        <v>0.0</v>
      </c>
      <c r="U292" s="7">
        <v>0.0</v>
      </c>
      <c r="V292" s="7">
        <v>0.0</v>
      </c>
      <c r="W292" s="7">
        <v>66.0</v>
      </c>
      <c r="X292" s="7">
        <v>35.0</v>
      </c>
      <c r="Y292" s="7">
        <v>11652.0</v>
      </c>
      <c r="Z292" s="7">
        <v>3.0</v>
      </c>
      <c r="AA292" s="11">
        <v>0.0</v>
      </c>
      <c r="AB292" s="7"/>
      <c r="AC292" s="10"/>
      <c r="AD292" s="10"/>
    </row>
    <row r="293" ht="15.75" customHeight="1">
      <c r="A293" s="6">
        <v>44853.0</v>
      </c>
      <c r="B293" s="7">
        <f t="shared" si="1"/>
        <v>19</v>
      </c>
      <c r="C293" s="7">
        <f t="shared" si="2"/>
        <v>10</v>
      </c>
      <c r="D293" s="7">
        <v>7854.31</v>
      </c>
      <c r="E293" s="7">
        <v>8010.0</v>
      </c>
      <c r="F293" s="7">
        <v>7847.0</v>
      </c>
      <c r="G293" s="7">
        <v>15857.0</v>
      </c>
      <c r="H293" s="7">
        <v>311.34</v>
      </c>
      <c r="I293" s="7">
        <v>1830.0</v>
      </c>
      <c r="J293" s="7">
        <v>0.17</v>
      </c>
      <c r="K293" s="7">
        <v>1726.0</v>
      </c>
      <c r="L293" s="7">
        <v>3444.78</v>
      </c>
      <c r="M293" s="7">
        <v>2690.0</v>
      </c>
      <c r="N293" s="7">
        <v>1.281</v>
      </c>
      <c r="O293" s="8">
        <v>2276.0</v>
      </c>
      <c r="P293" s="7">
        <v>4063.19</v>
      </c>
      <c r="Q293" s="7">
        <v>2569291.0</v>
      </c>
      <c r="R293" s="7">
        <v>1.58</v>
      </c>
      <c r="S293" s="7">
        <v>3960.0</v>
      </c>
      <c r="T293" s="7">
        <v>0.0</v>
      </c>
      <c r="U293" s="7">
        <v>0.0</v>
      </c>
      <c r="V293" s="7">
        <v>0.0</v>
      </c>
      <c r="W293" s="7">
        <v>64.0</v>
      </c>
      <c r="X293" s="7">
        <v>35.0</v>
      </c>
      <c r="Y293" s="7">
        <v>10259.0</v>
      </c>
      <c r="Z293" s="7">
        <v>3.41</v>
      </c>
      <c r="AA293" s="11">
        <v>0.0</v>
      </c>
      <c r="AB293" s="7"/>
      <c r="AC293" s="10"/>
      <c r="AD293" s="10"/>
    </row>
    <row r="294" ht="15.75" customHeight="1">
      <c r="A294" s="6">
        <v>44854.0</v>
      </c>
      <c r="B294" s="7">
        <f t="shared" si="1"/>
        <v>20</v>
      </c>
      <c r="C294" s="7">
        <f t="shared" si="2"/>
        <v>10</v>
      </c>
      <c r="D294" s="7">
        <v>7721.03</v>
      </c>
      <c r="E294" s="7">
        <v>6960.0</v>
      </c>
      <c r="F294" s="7">
        <v>8000.0</v>
      </c>
      <c r="G294" s="7">
        <v>14960.0</v>
      </c>
      <c r="H294" s="7">
        <v>246.24</v>
      </c>
      <c r="I294" s="7">
        <v>2719.0</v>
      </c>
      <c r="J294" s="7">
        <v>0.091</v>
      </c>
      <c r="K294" s="7">
        <v>2316.0</v>
      </c>
      <c r="L294" s="7">
        <v>3294.58</v>
      </c>
      <c r="M294" s="7">
        <v>2596.0</v>
      </c>
      <c r="N294" s="7">
        <v>1.269</v>
      </c>
      <c r="O294" s="8">
        <v>2119.0</v>
      </c>
      <c r="P294" s="7">
        <v>4145.21</v>
      </c>
      <c r="Q294" s="7">
        <v>2572320.0</v>
      </c>
      <c r="R294" s="7">
        <v>1.61</v>
      </c>
      <c r="S294" s="7">
        <v>3724.0</v>
      </c>
      <c r="T294" s="7">
        <v>0.0</v>
      </c>
      <c r="U294" s="7">
        <v>0.0</v>
      </c>
      <c r="V294" s="7">
        <v>0.0</v>
      </c>
      <c r="W294" s="7">
        <v>47.0</v>
      </c>
      <c r="X294" s="7">
        <v>35.0</v>
      </c>
      <c r="Y294" s="7">
        <v>9351.0</v>
      </c>
      <c r="Z294" s="7">
        <v>3.74</v>
      </c>
      <c r="AA294" s="11">
        <v>0.0</v>
      </c>
      <c r="AB294" s="7"/>
      <c r="AC294" s="10"/>
      <c r="AD294" s="10"/>
    </row>
    <row r="295" ht="15.75" customHeight="1">
      <c r="A295" s="6">
        <v>44855.0</v>
      </c>
      <c r="B295" s="7">
        <f t="shared" si="1"/>
        <v>21</v>
      </c>
      <c r="C295" s="7">
        <f t="shared" si="2"/>
        <v>10</v>
      </c>
      <c r="D295" s="7">
        <v>7156.07</v>
      </c>
      <c r="E295" s="7">
        <v>6203.0</v>
      </c>
      <c r="F295" s="7">
        <v>7536.0</v>
      </c>
      <c r="G295" s="7">
        <v>13739.0</v>
      </c>
      <c r="H295" s="7">
        <v>254.61</v>
      </c>
      <c r="I295" s="7">
        <v>2570.0</v>
      </c>
      <c r="J295" s="7">
        <v>0.099</v>
      </c>
      <c r="K295" s="7">
        <v>2132.0</v>
      </c>
      <c r="L295" s="7">
        <v>2954.32</v>
      </c>
      <c r="M295" s="7">
        <v>2496.0</v>
      </c>
      <c r="N295" s="7">
        <v>1.184</v>
      </c>
      <c r="O295" s="8">
        <v>2033.0</v>
      </c>
      <c r="P295" s="7">
        <v>3912.14</v>
      </c>
      <c r="Q295" s="7">
        <v>2441159.0</v>
      </c>
      <c r="R295" s="7">
        <v>1.6</v>
      </c>
      <c r="S295" s="7">
        <v>3463.0</v>
      </c>
      <c r="T295" s="7">
        <v>0.0</v>
      </c>
      <c r="U295" s="7">
        <v>0.0</v>
      </c>
      <c r="V295" s="7">
        <v>0.0</v>
      </c>
      <c r="W295" s="7">
        <v>73.0</v>
      </c>
      <c r="X295" s="7">
        <v>35.0</v>
      </c>
      <c r="Y295" s="7">
        <v>9707.0</v>
      </c>
      <c r="Z295" s="7">
        <v>3.61</v>
      </c>
      <c r="AA295" s="11">
        <v>0.0</v>
      </c>
      <c r="AB295" s="7"/>
      <c r="AC295" s="10"/>
      <c r="AD295" s="10"/>
    </row>
    <row r="296" ht="15.75" customHeight="1">
      <c r="A296" s="6">
        <v>44856.0</v>
      </c>
      <c r="B296" s="7">
        <f t="shared" si="1"/>
        <v>22</v>
      </c>
      <c r="C296" s="7">
        <f t="shared" si="2"/>
        <v>10</v>
      </c>
      <c r="D296" s="7">
        <v>7746.33</v>
      </c>
      <c r="E296" s="7">
        <v>5732.0</v>
      </c>
      <c r="F296" s="7">
        <v>9067.0</v>
      </c>
      <c r="G296" s="7">
        <v>14799.0</v>
      </c>
      <c r="H296" s="7">
        <v>227.35</v>
      </c>
      <c r="I296" s="7">
        <v>2663.0</v>
      </c>
      <c r="J296" s="7">
        <v>0.085</v>
      </c>
      <c r="K296" s="7">
        <v>2070.0</v>
      </c>
      <c r="L296" s="7">
        <v>3405.78</v>
      </c>
      <c r="M296" s="7">
        <v>3189.0</v>
      </c>
      <c r="N296" s="7">
        <v>1.068</v>
      </c>
      <c r="O296" s="8">
        <v>2534.0</v>
      </c>
      <c r="P296" s="7">
        <v>4078.2</v>
      </c>
      <c r="Q296" s="7">
        <v>2558138.0</v>
      </c>
      <c r="R296" s="7">
        <v>1.59</v>
      </c>
      <c r="S296" s="7">
        <v>4311.0</v>
      </c>
      <c r="T296" s="7">
        <v>0.0</v>
      </c>
      <c r="U296" s="7">
        <v>0.0</v>
      </c>
      <c r="V296" s="7">
        <v>0.0</v>
      </c>
      <c r="W296" s="7">
        <v>48.0</v>
      </c>
      <c r="X296" s="7">
        <v>35.0</v>
      </c>
      <c r="Y296" s="7">
        <v>12032.0</v>
      </c>
      <c r="Z296" s="7">
        <v>2.91</v>
      </c>
      <c r="AA296" s="11">
        <v>0.0</v>
      </c>
      <c r="AB296" s="7"/>
      <c r="AC296" s="10"/>
      <c r="AD296" s="10"/>
    </row>
    <row r="297" ht="15.75" customHeight="1">
      <c r="A297" s="6">
        <v>44857.0</v>
      </c>
      <c r="B297" s="7">
        <f t="shared" si="1"/>
        <v>23</v>
      </c>
      <c r="C297" s="7">
        <f t="shared" si="2"/>
        <v>10</v>
      </c>
      <c r="D297" s="7">
        <v>9166.39</v>
      </c>
      <c r="E297" s="7">
        <v>6617.0</v>
      </c>
      <c r="F297" s="7">
        <v>10846.0</v>
      </c>
      <c r="G297" s="7">
        <v>17463.0</v>
      </c>
      <c r="H297" s="7">
        <v>248.85</v>
      </c>
      <c r="I297" s="7">
        <v>3258.0</v>
      </c>
      <c r="J297" s="7">
        <v>0.076</v>
      </c>
      <c r="K297" s="7">
        <v>2531.0</v>
      </c>
      <c r="L297" s="7">
        <v>4591.85</v>
      </c>
      <c r="M297" s="7">
        <v>4179.0</v>
      </c>
      <c r="N297" s="7">
        <v>1.099</v>
      </c>
      <c r="O297" s="8">
        <v>3235.0</v>
      </c>
      <c r="P297" s="7">
        <v>4290.69</v>
      </c>
      <c r="Q297" s="7">
        <v>2906505.0</v>
      </c>
      <c r="R297" s="7">
        <v>1.48</v>
      </c>
      <c r="S297" s="7">
        <v>5041.0</v>
      </c>
      <c r="T297" s="7">
        <v>0.0</v>
      </c>
      <c r="U297" s="7">
        <v>0.0</v>
      </c>
      <c r="V297" s="7">
        <v>0.0</v>
      </c>
      <c r="W297" s="7">
        <v>64.0</v>
      </c>
      <c r="X297" s="7">
        <v>35.0</v>
      </c>
      <c r="Y297" s="7">
        <v>11237.0</v>
      </c>
      <c r="Z297" s="7">
        <v>3.11</v>
      </c>
      <c r="AA297" s="11">
        <v>0.0</v>
      </c>
      <c r="AB297" s="7"/>
      <c r="AC297" s="10"/>
      <c r="AD297" s="10"/>
    </row>
    <row r="298" ht="15.75" customHeight="1">
      <c r="A298" s="6">
        <v>44858.0</v>
      </c>
      <c r="B298" s="7">
        <f t="shared" si="1"/>
        <v>24</v>
      </c>
      <c r="C298" s="7">
        <f t="shared" si="2"/>
        <v>10</v>
      </c>
      <c r="D298" s="7">
        <v>8133.96</v>
      </c>
      <c r="E298" s="7">
        <v>7498.0</v>
      </c>
      <c r="F298" s="7">
        <v>9525.0</v>
      </c>
      <c r="G298" s="7">
        <v>17023.0</v>
      </c>
      <c r="H298" s="7">
        <v>253.16</v>
      </c>
      <c r="I298" s="7">
        <v>3169.0</v>
      </c>
      <c r="J298" s="7">
        <v>0.08</v>
      </c>
      <c r="K298" s="7">
        <v>2380.0</v>
      </c>
      <c r="L298" s="7">
        <v>3660.22</v>
      </c>
      <c r="M298" s="7">
        <v>3207.0</v>
      </c>
      <c r="N298" s="7">
        <v>1.141</v>
      </c>
      <c r="O298" s="8">
        <v>2716.0</v>
      </c>
      <c r="P298" s="7">
        <v>4185.58</v>
      </c>
      <c r="Q298" s="7">
        <v>2806358.0</v>
      </c>
      <c r="R298" s="7">
        <v>1.49</v>
      </c>
      <c r="S298" s="7">
        <v>4516.0</v>
      </c>
      <c r="T298" s="7">
        <v>0.0</v>
      </c>
      <c r="U298" s="7">
        <v>0.0</v>
      </c>
      <c r="V298" s="7">
        <v>0.0</v>
      </c>
      <c r="W298" s="7">
        <v>60.0</v>
      </c>
      <c r="X298" s="7">
        <v>35.0</v>
      </c>
      <c r="Y298" s="7">
        <v>11474.0</v>
      </c>
      <c r="Z298" s="7">
        <v>3.05</v>
      </c>
      <c r="AA298" s="11">
        <v>0.0</v>
      </c>
      <c r="AB298" s="7"/>
      <c r="AC298" s="10"/>
      <c r="AD298" s="10"/>
    </row>
    <row r="299" ht="15.75" customHeight="1">
      <c r="A299" s="6">
        <v>44859.0</v>
      </c>
      <c r="B299" s="7">
        <f t="shared" si="1"/>
        <v>25</v>
      </c>
      <c r="C299" s="7">
        <f t="shared" si="2"/>
        <v>10</v>
      </c>
      <c r="D299" s="7">
        <v>7699.64</v>
      </c>
      <c r="E299" s="7">
        <v>8542.0</v>
      </c>
      <c r="F299" s="7">
        <v>8956.0</v>
      </c>
      <c r="G299" s="7">
        <v>17498.0</v>
      </c>
      <c r="H299" s="7">
        <v>255.89</v>
      </c>
      <c r="I299" s="7">
        <v>2941.0</v>
      </c>
      <c r="J299" s="7">
        <v>0.087</v>
      </c>
      <c r="K299" s="7">
        <v>2201.0</v>
      </c>
      <c r="L299" s="7">
        <v>3376.14</v>
      </c>
      <c r="M299" s="7">
        <v>3072.0</v>
      </c>
      <c r="N299" s="7">
        <v>1.099</v>
      </c>
      <c r="O299" s="8">
        <v>2574.0</v>
      </c>
      <c r="P299" s="7">
        <v>4032.61</v>
      </c>
      <c r="Q299" s="7">
        <v>2608942.0</v>
      </c>
      <c r="R299" s="7">
        <v>1.55</v>
      </c>
      <c r="S299" s="7">
        <v>4179.0</v>
      </c>
      <c r="T299" s="7">
        <v>0.0</v>
      </c>
      <c r="U299" s="7">
        <v>0.0</v>
      </c>
      <c r="V299" s="7">
        <v>0.0</v>
      </c>
      <c r="W299" s="7">
        <v>54.0</v>
      </c>
      <c r="X299" s="7">
        <v>35.0</v>
      </c>
      <c r="Y299" s="7">
        <v>9062.0</v>
      </c>
      <c r="Z299" s="7">
        <v>3.86</v>
      </c>
      <c r="AA299" s="11">
        <v>1.0</v>
      </c>
      <c r="AB299" s="7"/>
      <c r="AC299" s="10"/>
      <c r="AD299" s="10"/>
    </row>
    <row r="300" ht="15.75" customHeight="1">
      <c r="A300" s="6">
        <v>44860.0</v>
      </c>
      <c r="B300" s="7">
        <f t="shared" si="1"/>
        <v>26</v>
      </c>
      <c r="C300" s="7">
        <f t="shared" si="2"/>
        <v>10</v>
      </c>
      <c r="D300" s="7">
        <v>7675.69</v>
      </c>
      <c r="E300" s="7">
        <v>7540.0</v>
      </c>
      <c r="F300" s="7">
        <v>8428.0</v>
      </c>
      <c r="G300" s="7">
        <v>15968.0</v>
      </c>
      <c r="H300" s="7">
        <v>254.42</v>
      </c>
      <c r="I300" s="7">
        <v>2885.0</v>
      </c>
      <c r="J300" s="7">
        <v>0.088</v>
      </c>
      <c r="K300" s="7">
        <v>2141.0</v>
      </c>
      <c r="L300" s="7">
        <v>3314.84</v>
      </c>
      <c r="M300" s="7">
        <v>2977.0</v>
      </c>
      <c r="N300" s="7">
        <v>1.113</v>
      </c>
      <c r="O300" s="8">
        <v>2485.0</v>
      </c>
      <c r="P300" s="7">
        <v>4075.57</v>
      </c>
      <c r="Q300" s="7">
        <v>2425509.0</v>
      </c>
      <c r="R300" s="7">
        <v>1.68</v>
      </c>
      <c r="S300" s="7">
        <v>3977.0</v>
      </c>
      <c r="T300" s="7">
        <v>0.0</v>
      </c>
      <c r="U300" s="7">
        <v>0.0</v>
      </c>
      <c r="V300" s="7">
        <v>0.0</v>
      </c>
      <c r="W300" s="7">
        <v>48.0</v>
      </c>
      <c r="X300" s="7">
        <v>30.86</v>
      </c>
      <c r="Y300" s="7">
        <v>6833.0</v>
      </c>
      <c r="Z300" s="7">
        <v>4.52</v>
      </c>
      <c r="AA300" s="11">
        <v>0.0</v>
      </c>
      <c r="AB300" s="7"/>
      <c r="AC300" s="10"/>
      <c r="AD300" s="10"/>
    </row>
    <row r="301" ht="15.75" customHeight="1">
      <c r="A301" s="6">
        <v>44861.0</v>
      </c>
      <c r="B301" s="7">
        <f t="shared" si="1"/>
        <v>27</v>
      </c>
      <c r="C301" s="7">
        <f t="shared" si="2"/>
        <v>10</v>
      </c>
      <c r="D301" s="7">
        <v>7653.0</v>
      </c>
      <c r="E301" s="7">
        <v>8493.0</v>
      </c>
      <c r="F301" s="7">
        <v>8675.0</v>
      </c>
      <c r="G301" s="7">
        <v>17168.0</v>
      </c>
      <c r="H301" s="7">
        <v>188.71</v>
      </c>
      <c r="I301" s="7">
        <v>2356.0</v>
      </c>
      <c r="J301" s="7">
        <v>0.08</v>
      </c>
      <c r="K301" s="7">
        <v>1857.0</v>
      </c>
      <c r="L301" s="7">
        <v>3238.74</v>
      </c>
      <c r="M301" s="7">
        <v>2642.0</v>
      </c>
      <c r="N301" s="7">
        <v>1.226</v>
      </c>
      <c r="O301" s="8">
        <v>2176.0</v>
      </c>
      <c r="P301" s="7">
        <v>4117.17</v>
      </c>
      <c r="Q301" s="7">
        <v>2490958.0</v>
      </c>
      <c r="R301" s="7">
        <v>1.65</v>
      </c>
      <c r="S301" s="7">
        <v>4594.0</v>
      </c>
      <c r="T301" s="7">
        <v>73.38</v>
      </c>
      <c r="U301" s="7">
        <v>15.0</v>
      </c>
      <c r="V301" s="7">
        <v>4.89</v>
      </c>
      <c r="W301" s="7">
        <v>59.0</v>
      </c>
      <c r="X301" s="7">
        <v>35.0</v>
      </c>
      <c r="Y301" s="7">
        <v>7914.0</v>
      </c>
      <c r="Z301" s="7">
        <v>4.42</v>
      </c>
      <c r="AA301" s="11">
        <v>0.0</v>
      </c>
      <c r="AB301" s="7"/>
      <c r="AC301" s="10"/>
      <c r="AD301" s="10"/>
    </row>
    <row r="302" ht="15.75" customHeight="1">
      <c r="A302" s="6">
        <v>44862.0</v>
      </c>
      <c r="B302" s="7">
        <f t="shared" si="1"/>
        <v>28</v>
      </c>
      <c r="C302" s="7">
        <f t="shared" si="2"/>
        <v>10</v>
      </c>
      <c r="D302" s="7">
        <v>7374.38</v>
      </c>
      <c r="E302" s="7">
        <v>7094.0</v>
      </c>
      <c r="F302" s="7">
        <v>8541.0</v>
      </c>
      <c r="G302" s="7">
        <v>15635.0</v>
      </c>
      <c r="H302" s="7">
        <v>168.91</v>
      </c>
      <c r="I302" s="7">
        <v>2149.0</v>
      </c>
      <c r="J302" s="7">
        <v>0.079</v>
      </c>
      <c r="K302" s="7">
        <v>1737.0</v>
      </c>
      <c r="L302" s="7">
        <v>2878.36</v>
      </c>
      <c r="M302" s="7">
        <v>2562.0</v>
      </c>
      <c r="N302" s="7">
        <v>1.123</v>
      </c>
      <c r="O302" s="8">
        <v>2137.0</v>
      </c>
      <c r="P302" s="7">
        <v>4189.23</v>
      </c>
      <c r="Q302" s="7">
        <v>2491844.0</v>
      </c>
      <c r="R302" s="7">
        <v>1.68</v>
      </c>
      <c r="S302" s="7">
        <v>4899.0</v>
      </c>
      <c r="T302" s="7">
        <v>102.88</v>
      </c>
      <c r="U302" s="7">
        <v>52.0</v>
      </c>
      <c r="V302" s="7">
        <v>1.98</v>
      </c>
      <c r="W302" s="7">
        <v>67.0</v>
      </c>
      <c r="X302" s="7">
        <v>35.0</v>
      </c>
      <c r="Y302" s="7">
        <v>6067.0</v>
      </c>
      <c r="Z302" s="7">
        <v>5.77</v>
      </c>
      <c r="AA302" s="11">
        <v>0.0</v>
      </c>
      <c r="AB302" s="7"/>
      <c r="AC302" s="10"/>
      <c r="AD302" s="10"/>
    </row>
    <row r="303" ht="15.75" customHeight="1">
      <c r="A303" s="6">
        <v>44863.0</v>
      </c>
      <c r="B303" s="7">
        <f t="shared" si="1"/>
        <v>29</v>
      </c>
      <c r="C303" s="7">
        <f t="shared" si="2"/>
        <v>10</v>
      </c>
      <c r="D303" s="7">
        <v>7266.77</v>
      </c>
      <c r="E303" s="7">
        <v>6163.0</v>
      </c>
      <c r="F303" s="7">
        <v>9698.0</v>
      </c>
      <c r="G303" s="7">
        <v>15861.0</v>
      </c>
      <c r="H303" s="7">
        <v>270.61</v>
      </c>
      <c r="I303" s="7">
        <v>2637.0</v>
      </c>
      <c r="J303" s="7">
        <v>0.103</v>
      </c>
      <c r="K303" s="7">
        <v>1983.0</v>
      </c>
      <c r="L303" s="7">
        <v>2846.01</v>
      </c>
      <c r="M303" s="7">
        <v>2707.0</v>
      </c>
      <c r="N303" s="7">
        <v>1.051</v>
      </c>
      <c r="O303" s="8">
        <v>2189.0</v>
      </c>
      <c r="P303" s="7">
        <v>4016.29</v>
      </c>
      <c r="Q303" s="7">
        <v>2498122.0</v>
      </c>
      <c r="R303" s="7">
        <v>1.61</v>
      </c>
      <c r="S303" s="7">
        <v>5317.0</v>
      </c>
      <c r="T303" s="7">
        <v>98.86</v>
      </c>
      <c r="U303" s="7">
        <v>53.0</v>
      </c>
      <c r="V303" s="7">
        <v>1.87</v>
      </c>
      <c r="W303" s="7">
        <v>51.0</v>
      </c>
      <c r="X303" s="7">
        <v>35.0</v>
      </c>
      <c r="Y303" s="7">
        <v>6142.0</v>
      </c>
      <c r="Z303" s="7">
        <v>5.7</v>
      </c>
      <c r="AA303" s="11">
        <v>0.0</v>
      </c>
      <c r="AB303" s="7"/>
      <c r="AC303" s="10"/>
      <c r="AD303" s="10"/>
    </row>
    <row r="304" ht="15.75" customHeight="1">
      <c r="A304" s="6">
        <v>44864.0</v>
      </c>
      <c r="B304" s="7">
        <f t="shared" si="1"/>
        <v>30</v>
      </c>
      <c r="C304" s="7">
        <f t="shared" si="2"/>
        <v>10</v>
      </c>
      <c r="D304" s="7">
        <v>8252.76</v>
      </c>
      <c r="E304" s="7">
        <v>7334.0</v>
      </c>
      <c r="F304" s="7">
        <v>11215.0</v>
      </c>
      <c r="G304" s="7">
        <v>18549.0</v>
      </c>
      <c r="H304" s="7">
        <v>346.65</v>
      </c>
      <c r="I304" s="7">
        <v>3220.0</v>
      </c>
      <c r="J304" s="7">
        <v>0.108</v>
      </c>
      <c r="K304" s="7">
        <v>2418.0</v>
      </c>
      <c r="L304" s="7">
        <v>3357.86</v>
      </c>
      <c r="M304" s="7">
        <v>3459.0</v>
      </c>
      <c r="N304" s="7">
        <v>0.971</v>
      </c>
      <c r="O304" s="8">
        <v>2767.0</v>
      </c>
      <c r="P304" s="7">
        <v>4413.24</v>
      </c>
      <c r="Q304" s="7">
        <v>3055148.0</v>
      </c>
      <c r="R304" s="7">
        <v>1.44</v>
      </c>
      <c r="S304" s="7">
        <v>5862.0</v>
      </c>
      <c r="T304" s="7">
        <v>100.01</v>
      </c>
      <c r="U304" s="7">
        <v>47.0</v>
      </c>
      <c r="V304" s="7">
        <v>2.13</v>
      </c>
      <c r="W304" s="7">
        <v>62.0</v>
      </c>
      <c r="X304" s="7">
        <v>35.0</v>
      </c>
      <c r="Y304" s="7">
        <v>6064.0</v>
      </c>
      <c r="Z304" s="7">
        <v>5.77</v>
      </c>
      <c r="AA304" s="11">
        <v>0.0</v>
      </c>
      <c r="AB304" s="7"/>
      <c r="AC304" s="10"/>
      <c r="AD304" s="10"/>
    </row>
    <row r="305" ht="15.75" customHeight="1">
      <c r="A305" s="6">
        <v>44865.0</v>
      </c>
      <c r="B305" s="7">
        <f t="shared" si="1"/>
        <v>31</v>
      </c>
      <c r="C305" s="7">
        <f t="shared" si="2"/>
        <v>10</v>
      </c>
      <c r="D305" s="7">
        <v>7450.11</v>
      </c>
      <c r="E305" s="7">
        <v>7148.0</v>
      </c>
      <c r="F305" s="7">
        <v>10106.0</v>
      </c>
      <c r="G305" s="7">
        <v>17254.0</v>
      </c>
      <c r="H305" s="7">
        <v>280.57</v>
      </c>
      <c r="I305" s="7">
        <v>2859.0</v>
      </c>
      <c r="J305" s="7">
        <v>0.098</v>
      </c>
      <c r="K305" s="7">
        <v>2198.0</v>
      </c>
      <c r="L305" s="7">
        <v>2974.08</v>
      </c>
      <c r="M305" s="7">
        <v>2951.0</v>
      </c>
      <c r="N305" s="7">
        <v>1.008</v>
      </c>
      <c r="O305" s="8">
        <v>2479.0</v>
      </c>
      <c r="P305" s="7">
        <v>4062.79</v>
      </c>
      <c r="Q305" s="7">
        <v>3256821.0</v>
      </c>
      <c r="R305" s="7">
        <v>1.25</v>
      </c>
      <c r="S305" s="7">
        <v>5199.0</v>
      </c>
      <c r="T305" s="7">
        <v>97.67</v>
      </c>
      <c r="U305" s="7">
        <v>50.0</v>
      </c>
      <c r="V305" s="7">
        <v>1.95</v>
      </c>
      <c r="W305" s="7">
        <v>76.0</v>
      </c>
      <c r="X305" s="7">
        <v>35.0</v>
      </c>
      <c r="Y305" s="7">
        <v>6719.0</v>
      </c>
      <c r="Z305" s="7">
        <v>5.21</v>
      </c>
      <c r="AA305" s="11">
        <v>1.0</v>
      </c>
      <c r="AB305" s="7"/>
      <c r="AC305" s="10"/>
      <c r="AD305" s="10"/>
    </row>
    <row r="306" ht="15.75" customHeight="1">
      <c r="A306" s="6">
        <v>44866.0</v>
      </c>
      <c r="B306" s="7">
        <f t="shared" si="1"/>
        <v>1</v>
      </c>
      <c r="C306" s="7">
        <f t="shared" si="2"/>
        <v>11</v>
      </c>
      <c r="D306" s="7">
        <v>8533.69</v>
      </c>
      <c r="E306" s="7">
        <v>9484.0</v>
      </c>
      <c r="F306" s="7">
        <v>12458.0</v>
      </c>
      <c r="G306" s="7">
        <v>21942.0</v>
      </c>
      <c r="H306" s="7">
        <v>477.57</v>
      </c>
      <c r="I306" s="7">
        <v>3653.0</v>
      </c>
      <c r="J306" s="7">
        <v>0.131</v>
      </c>
      <c r="K306" s="7">
        <v>2791.0</v>
      </c>
      <c r="L306" s="7">
        <v>3888.95</v>
      </c>
      <c r="M306" s="7">
        <v>3552.0</v>
      </c>
      <c r="N306" s="7">
        <v>1.095</v>
      </c>
      <c r="O306" s="8">
        <v>2902.0</v>
      </c>
      <c r="P306" s="7">
        <v>4031.12</v>
      </c>
      <c r="Q306" s="7">
        <v>4030492.0</v>
      </c>
      <c r="R306" s="7">
        <v>1.0</v>
      </c>
      <c r="S306" s="7">
        <v>6981.0</v>
      </c>
      <c r="T306" s="7">
        <v>101.05</v>
      </c>
      <c r="U306" s="7">
        <v>58.0</v>
      </c>
      <c r="V306" s="7">
        <v>1.74</v>
      </c>
      <c r="W306" s="7">
        <v>70.0</v>
      </c>
      <c r="X306" s="7">
        <v>35.0</v>
      </c>
      <c r="Y306" s="7">
        <v>7208.0</v>
      </c>
      <c r="Z306" s="7">
        <v>4.86</v>
      </c>
      <c r="AA306" s="7">
        <v>0.0</v>
      </c>
      <c r="AB306" s="7"/>
      <c r="AC306" s="7"/>
      <c r="AD306" s="7"/>
    </row>
    <row r="307" ht="15.75" customHeight="1">
      <c r="A307" s="6">
        <v>44867.0</v>
      </c>
      <c r="B307" s="7">
        <f t="shared" si="1"/>
        <v>2</v>
      </c>
      <c r="C307" s="7">
        <f t="shared" si="2"/>
        <v>11</v>
      </c>
      <c r="D307" s="7">
        <v>8471.63</v>
      </c>
      <c r="E307" s="7">
        <v>8011.0</v>
      </c>
      <c r="F307" s="7">
        <v>10751.0</v>
      </c>
      <c r="G307" s="7">
        <v>18762.0</v>
      </c>
      <c r="H307" s="7">
        <v>379.88</v>
      </c>
      <c r="I307" s="7">
        <v>2980.0</v>
      </c>
      <c r="J307" s="7">
        <v>0.127</v>
      </c>
      <c r="K307" s="7">
        <v>2401.0</v>
      </c>
      <c r="L307" s="7">
        <v>3904.88</v>
      </c>
      <c r="M307" s="7">
        <v>3237.0</v>
      </c>
      <c r="N307" s="7">
        <v>1.206</v>
      </c>
      <c r="O307" s="8">
        <v>2699.0</v>
      </c>
      <c r="P307" s="7">
        <v>4049.92</v>
      </c>
      <c r="Q307" s="7">
        <v>3257445.0</v>
      </c>
      <c r="R307" s="7">
        <v>1.24</v>
      </c>
      <c r="S307" s="7">
        <v>5752.0</v>
      </c>
      <c r="T307" s="7">
        <v>101.95</v>
      </c>
      <c r="U307" s="7">
        <v>42.0</v>
      </c>
      <c r="V307" s="7">
        <v>2.43</v>
      </c>
      <c r="W307" s="7">
        <v>70.0</v>
      </c>
      <c r="X307" s="7">
        <v>35.0</v>
      </c>
      <c r="Y307" s="7">
        <v>6893.0</v>
      </c>
      <c r="Z307" s="7">
        <v>5.08</v>
      </c>
      <c r="AA307" s="7">
        <v>0.0</v>
      </c>
      <c r="AB307" s="7"/>
      <c r="AC307" s="7"/>
      <c r="AD307" s="7"/>
    </row>
    <row r="308" ht="15.75" customHeight="1">
      <c r="A308" s="6">
        <v>44868.0</v>
      </c>
      <c r="B308" s="7">
        <f t="shared" si="1"/>
        <v>3</v>
      </c>
      <c r="C308" s="7">
        <f t="shared" si="2"/>
        <v>11</v>
      </c>
      <c r="D308" s="7">
        <v>8287.18</v>
      </c>
      <c r="E308" s="7">
        <v>7686.0</v>
      </c>
      <c r="F308" s="7">
        <v>10116.0</v>
      </c>
      <c r="G308" s="7">
        <v>17802.0</v>
      </c>
      <c r="H308" s="7">
        <v>401.48</v>
      </c>
      <c r="I308" s="7">
        <v>2794.0</v>
      </c>
      <c r="J308" s="7">
        <v>0.144</v>
      </c>
      <c r="K308" s="7">
        <v>2334.0</v>
      </c>
      <c r="L308" s="7">
        <v>3596.81</v>
      </c>
      <c r="M308" s="7">
        <v>3020.0</v>
      </c>
      <c r="N308" s="7">
        <v>1.191</v>
      </c>
      <c r="O308" s="8">
        <v>2479.0</v>
      </c>
      <c r="P308" s="7">
        <v>4152.89</v>
      </c>
      <c r="Q308" s="7">
        <v>2817550.0</v>
      </c>
      <c r="R308" s="7">
        <v>1.47</v>
      </c>
      <c r="S308" s="7">
        <v>5058.0</v>
      </c>
      <c r="T308" s="7">
        <v>101.0</v>
      </c>
      <c r="U308" s="7">
        <v>54.0</v>
      </c>
      <c r="V308" s="7">
        <v>1.87</v>
      </c>
      <c r="W308" s="7">
        <v>63.0</v>
      </c>
      <c r="X308" s="7">
        <v>35.0</v>
      </c>
      <c r="Y308" s="7">
        <v>5755.0</v>
      </c>
      <c r="Z308" s="7">
        <v>6.08</v>
      </c>
      <c r="AA308" s="7">
        <v>0.0</v>
      </c>
      <c r="AB308" s="7"/>
      <c r="AC308" s="7"/>
      <c r="AD308" s="7"/>
    </row>
    <row r="309" ht="15.75" customHeight="1">
      <c r="A309" s="6">
        <v>44869.0</v>
      </c>
      <c r="B309" s="7">
        <f t="shared" si="1"/>
        <v>4</v>
      </c>
      <c r="C309" s="7">
        <f t="shared" si="2"/>
        <v>11</v>
      </c>
      <c r="D309" s="7">
        <v>7636.46</v>
      </c>
      <c r="E309" s="7">
        <v>6740.0</v>
      </c>
      <c r="F309" s="7">
        <v>8718.0</v>
      </c>
      <c r="G309" s="7">
        <v>15458.0</v>
      </c>
      <c r="H309" s="7">
        <v>302.89</v>
      </c>
      <c r="I309" s="7">
        <v>2630.0</v>
      </c>
      <c r="J309" s="7">
        <v>0.115</v>
      </c>
      <c r="K309" s="7">
        <v>2113.0</v>
      </c>
      <c r="L309" s="7">
        <v>3576.17</v>
      </c>
      <c r="M309" s="7">
        <v>3019.0</v>
      </c>
      <c r="N309" s="7">
        <v>1.185</v>
      </c>
      <c r="O309" s="8">
        <v>2508.0</v>
      </c>
      <c r="P309" s="7">
        <v>3698.9</v>
      </c>
      <c r="Q309" s="7">
        <v>2472561.0</v>
      </c>
      <c r="R309" s="7">
        <v>1.5</v>
      </c>
      <c r="S309" s="7">
        <v>4119.0</v>
      </c>
      <c r="T309" s="7">
        <v>23.5</v>
      </c>
      <c r="U309" s="7">
        <v>8.0</v>
      </c>
      <c r="V309" s="7">
        <v>2.94</v>
      </c>
      <c r="W309" s="7">
        <v>54.0</v>
      </c>
      <c r="X309" s="7">
        <v>35.0</v>
      </c>
      <c r="Y309" s="7">
        <v>5535.0</v>
      </c>
      <c r="Z309" s="7">
        <v>6.32</v>
      </c>
      <c r="AA309" s="7">
        <v>0.0</v>
      </c>
      <c r="AB309" s="7"/>
      <c r="AC309" s="7"/>
      <c r="AD309" s="7"/>
    </row>
    <row r="310" ht="15.75" customHeight="1">
      <c r="A310" s="6">
        <v>44870.0</v>
      </c>
      <c r="B310" s="7">
        <f t="shared" si="1"/>
        <v>5</v>
      </c>
      <c r="C310" s="7">
        <f t="shared" si="2"/>
        <v>11</v>
      </c>
      <c r="D310" s="7">
        <v>8500.89</v>
      </c>
      <c r="E310" s="7">
        <v>6896.0</v>
      </c>
      <c r="F310" s="7">
        <v>9754.0</v>
      </c>
      <c r="G310" s="7">
        <v>16650.0</v>
      </c>
      <c r="H310" s="7">
        <v>218.51</v>
      </c>
      <c r="I310" s="7">
        <v>2976.0</v>
      </c>
      <c r="J310" s="7">
        <v>0.073</v>
      </c>
      <c r="K310" s="7">
        <v>2262.0</v>
      </c>
      <c r="L310" s="7">
        <v>4059.15</v>
      </c>
      <c r="M310" s="7">
        <v>3355.0</v>
      </c>
      <c r="N310" s="7">
        <v>1.21</v>
      </c>
      <c r="O310" s="8">
        <v>2740.0</v>
      </c>
      <c r="P310" s="7">
        <v>4188.23</v>
      </c>
      <c r="Q310" s="7">
        <v>2710183.0</v>
      </c>
      <c r="R310" s="7">
        <v>1.55</v>
      </c>
      <c r="S310" s="7">
        <v>4819.0</v>
      </c>
      <c r="T310" s="7">
        <v>0.0</v>
      </c>
      <c r="U310" s="7">
        <v>0.0</v>
      </c>
      <c r="V310" s="7">
        <v>0.0</v>
      </c>
      <c r="W310" s="7">
        <v>51.0</v>
      </c>
      <c r="X310" s="7">
        <v>35.0</v>
      </c>
      <c r="Y310" s="7">
        <v>5867.0</v>
      </c>
      <c r="Z310" s="7">
        <v>5.97</v>
      </c>
      <c r="AA310" s="7">
        <v>0.0</v>
      </c>
      <c r="AB310" s="7"/>
      <c r="AC310" s="7"/>
      <c r="AD310" s="7"/>
    </row>
    <row r="311" ht="15.75" customHeight="1">
      <c r="A311" s="6">
        <v>44871.0</v>
      </c>
      <c r="B311" s="7">
        <f t="shared" si="1"/>
        <v>6</v>
      </c>
      <c r="C311" s="7">
        <f t="shared" si="2"/>
        <v>11</v>
      </c>
      <c r="D311" s="7">
        <v>9141.12</v>
      </c>
      <c r="E311" s="7">
        <v>9144.0</v>
      </c>
      <c r="F311" s="7">
        <v>9620.0</v>
      </c>
      <c r="G311" s="7">
        <v>18764.0</v>
      </c>
      <c r="H311" s="7">
        <v>262.85</v>
      </c>
      <c r="I311" s="7">
        <v>3570.0</v>
      </c>
      <c r="J311" s="7">
        <v>0.074</v>
      </c>
      <c r="K311" s="7">
        <v>2242.0</v>
      </c>
      <c r="L311" s="7">
        <v>4218.74</v>
      </c>
      <c r="M311" s="7">
        <v>3692.0</v>
      </c>
      <c r="N311" s="7">
        <v>1.143</v>
      </c>
      <c r="O311" s="8">
        <v>2786.0</v>
      </c>
      <c r="P311" s="7">
        <v>4624.53</v>
      </c>
      <c r="Q311" s="7">
        <v>3221059.0</v>
      </c>
      <c r="R311" s="7">
        <v>1.44</v>
      </c>
      <c r="S311" s="7">
        <v>4720.0</v>
      </c>
      <c r="T311" s="7">
        <v>0.0</v>
      </c>
      <c r="U311" s="7">
        <v>0.0</v>
      </c>
      <c r="V311" s="7">
        <v>0.0</v>
      </c>
      <c r="W311" s="7">
        <v>40.0</v>
      </c>
      <c r="X311" s="7">
        <v>35.0</v>
      </c>
      <c r="Y311" s="7">
        <v>5510.0</v>
      </c>
      <c r="Z311" s="7">
        <v>6.35</v>
      </c>
      <c r="AA311" s="7">
        <v>0.0</v>
      </c>
      <c r="AB311" s="7"/>
      <c r="AC311" s="7"/>
      <c r="AD311" s="7"/>
    </row>
    <row r="312" ht="15.75" customHeight="1">
      <c r="A312" s="6">
        <v>44872.0</v>
      </c>
      <c r="B312" s="7">
        <f t="shared" si="1"/>
        <v>7</v>
      </c>
      <c r="C312" s="7">
        <f t="shared" si="2"/>
        <v>11</v>
      </c>
      <c r="D312" s="7">
        <v>8648.65</v>
      </c>
      <c r="E312" s="7">
        <v>7566.0</v>
      </c>
      <c r="F312" s="7">
        <v>9493.0</v>
      </c>
      <c r="G312" s="7">
        <v>17059.0</v>
      </c>
      <c r="H312" s="7">
        <v>270.73</v>
      </c>
      <c r="I312" s="7">
        <v>3227.0</v>
      </c>
      <c r="J312" s="7">
        <v>0.084</v>
      </c>
      <c r="K312" s="7">
        <v>2526.0</v>
      </c>
      <c r="L312" s="7">
        <v>3970.24</v>
      </c>
      <c r="M312" s="7">
        <v>3166.0</v>
      </c>
      <c r="N312" s="7">
        <v>1.254</v>
      </c>
      <c r="O312" s="8">
        <v>2640.0</v>
      </c>
      <c r="P312" s="7">
        <v>4372.68</v>
      </c>
      <c r="Q312" s="7">
        <v>3091123.0</v>
      </c>
      <c r="R312" s="7">
        <v>1.41</v>
      </c>
      <c r="S312" s="7">
        <v>4598.0</v>
      </c>
      <c r="T312" s="7">
        <v>0.0</v>
      </c>
      <c r="U312" s="7">
        <v>0.0</v>
      </c>
      <c r="V312" s="7">
        <v>0.0</v>
      </c>
      <c r="W312" s="7">
        <v>72.0</v>
      </c>
      <c r="X312" s="7">
        <v>35.0</v>
      </c>
      <c r="Y312" s="7">
        <v>5851.0</v>
      </c>
      <c r="Z312" s="7">
        <v>5.98</v>
      </c>
      <c r="AA312" s="7">
        <v>0.0</v>
      </c>
      <c r="AB312" s="7"/>
      <c r="AC312" s="7"/>
      <c r="AD312" s="7"/>
    </row>
    <row r="313" ht="15.75" customHeight="1">
      <c r="A313" s="6">
        <v>44873.0</v>
      </c>
      <c r="B313" s="7">
        <f t="shared" si="1"/>
        <v>8</v>
      </c>
      <c r="C313" s="7">
        <f t="shared" si="2"/>
        <v>11</v>
      </c>
      <c r="D313" s="7">
        <v>8487.22</v>
      </c>
      <c r="E313" s="7">
        <v>6975.0</v>
      </c>
      <c r="F313" s="7">
        <v>9666.0</v>
      </c>
      <c r="G313" s="7">
        <v>16641.0</v>
      </c>
      <c r="H313" s="7">
        <v>258.63</v>
      </c>
      <c r="I313" s="7">
        <v>3033.0</v>
      </c>
      <c r="J313" s="7">
        <v>0.085</v>
      </c>
      <c r="K313" s="7">
        <v>2475.0</v>
      </c>
      <c r="L313" s="7">
        <v>3968.61</v>
      </c>
      <c r="M313" s="7">
        <v>3164.0</v>
      </c>
      <c r="N313" s="7">
        <v>1.254</v>
      </c>
      <c r="O313" s="8">
        <v>2652.0</v>
      </c>
      <c r="P313" s="7">
        <v>4224.98</v>
      </c>
      <c r="Q313" s="7">
        <v>2604504.0</v>
      </c>
      <c r="R313" s="7">
        <v>1.62</v>
      </c>
      <c r="S313" s="7">
        <v>4513.0</v>
      </c>
      <c r="T313" s="7">
        <v>0.0</v>
      </c>
      <c r="U313" s="7">
        <v>0.0</v>
      </c>
      <c r="V313" s="7">
        <v>0.0</v>
      </c>
      <c r="W313" s="7">
        <v>88.0</v>
      </c>
      <c r="X313" s="7">
        <v>35.0</v>
      </c>
      <c r="Y313" s="7">
        <v>5093.0</v>
      </c>
      <c r="Z313" s="7">
        <v>6.87</v>
      </c>
      <c r="AA313" s="7">
        <v>0.0</v>
      </c>
      <c r="AB313" s="7"/>
      <c r="AC313" s="7"/>
      <c r="AD313" s="7"/>
    </row>
    <row r="314" ht="15.75" customHeight="1">
      <c r="A314" s="6">
        <v>44874.0</v>
      </c>
      <c r="B314" s="7">
        <f t="shared" si="1"/>
        <v>9</v>
      </c>
      <c r="C314" s="7">
        <f t="shared" si="2"/>
        <v>11</v>
      </c>
      <c r="D314" s="7">
        <v>8736.94</v>
      </c>
      <c r="E314" s="7">
        <v>7111.0</v>
      </c>
      <c r="F314" s="7">
        <v>9944.0</v>
      </c>
      <c r="G314" s="7">
        <v>17055.0</v>
      </c>
      <c r="H314" s="7">
        <v>325.77</v>
      </c>
      <c r="I314" s="7">
        <v>3088.0</v>
      </c>
      <c r="J314" s="7">
        <v>0.105</v>
      </c>
      <c r="K314" s="7">
        <v>2458.0</v>
      </c>
      <c r="L314" s="7">
        <v>3925.98</v>
      </c>
      <c r="M314" s="7">
        <v>3175.0</v>
      </c>
      <c r="N314" s="7">
        <v>1.237</v>
      </c>
      <c r="O314" s="8">
        <v>2635.0</v>
      </c>
      <c r="P314" s="7">
        <v>4446.38</v>
      </c>
      <c r="Q314" s="7">
        <v>2570695.0</v>
      </c>
      <c r="R314" s="7">
        <v>1.73</v>
      </c>
      <c r="S314" s="7">
        <v>4773.0</v>
      </c>
      <c r="T314" s="7">
        <v>0.0</v>
      </c>
      <c r="U314" s="7">
        <v>0.0</v>
      </c>
      <c r="V314" s="7">
        <v>0.0</v>
      </c>
      <c r="W314" s="7">
        <v>73.0</v>
      </c>
      <c r="X314" s="7">
        <v>38.81</v>
      </c>
      <c r="Y314" s="7">
        <v>4538.0</v>
      </c>
      <c r="Z314" s="7">
        <v>8.55</v>
      </c>
      <c r="AA314" s="7">
        <v>0.0</v>
      </c>
      <c r="AB314" s="7"/>
      <c r="AC314" s="7"/>
      <c r="AD314" s="7"/>
    </row>
    <row r="315" ht="15.75" customHeight="1">
      <c r="A315" s="6">
        <v>44875.0</v>
      </c>
      <c r="B315" s="7">
        <f t="shared" si="1"/>
        <v>10</v>
      </c>
      <c r="C315" s="7">
        <f t="shared" si="2"/>
        <v>11</v>
      </c>
      <c r="D315" s="7">
        <v>9943.38</v>
      </c>
      <c r="E315" s="7">
        <v>7091.0</v>
      </c>
      <c r="F315" s="7">
        <v>11262.0</v>
      </c>
      <c r="G315" s="7">
        <v>18353.0</v>
      </c>
      <c r="H315" s="7">
        <v>322.96</v>
      </c>
      <c r="I315" s="7">
        <v>2996.0</v>
      </c>
      <c r="J315" s="7">
        <v>0.108</v>
      </c>
      <c r="K315" s="7">
        <v>2390.0</v>
      </c>
      <c r="L315" s="7">
        <v>4003.19</v>
      </c>
      <c r="M315" s="7">
        <v>3314.0</v>
      </c>
      <c r="N315" s="7">
        <v>1.208</v>
      </c>
      <c r="O315" s="8">
        <v>2761.0</v>
      </c>
      <c r="P315" s="7">
        <v>5574.43</v>
      </c>
      <c r="Q315" s="7">
        <v>2850848.0</v>
      </c>
      <c r="R315" s="7">
        <v>1.96</v>
      </c>
      <c r="S315" s="7">
        <v>6131.0</v>
      </c>
      <c r="T315" s="7">
        <v>0.0</v>
      </c>
      <c r="U315" s="7">
        <v>0.0</v>
      </c>
      <c r="V315" s="7">
        <v>0.0</v>
      </c>
      <c r="W315" s="7">
        <v>65.0</v>
      </c>
      <c r="X315" s="7">
        <v>42.8</v>
      </c>
      <c r="Y315" s="7">
        <v>5649.0</v>
      </c>
      <c r="Z315" s="7">
        <v>7.58</v>
      </c>
      <c r="AA315" s="7">
        <v>0.0</v>
      </c>
      <c r="AB315" s="7"/>
      <c r="AC315" s="7"/>
      <c r="AD315" s="7"/>
    </row>
    <row r="316" ht="15.75" customHeight="1">
      <c r="A316" s="6">
        <v>44876.0</v>
      </c>
      <c r="B316" s="7">
        <f t="shared" si="1"/>
        <v>11</v>
      </c>
      <c r="C316" s="7">
        <f t="shared" si="2"/>
        <v>11</v>
      </c>
      <c r="D316" s="7">
        <v>9371.52</v>
      </c>
      <c r="E316" s="7">
        <v>6581.0</v>
      </c>
      <c r="F316" s="7">
        <v>10191.0</v>
      </c>
      <c r="G316" s="7">
        <v>16772.0</v>
      </c>
      <c r="H316" s="7">
        <v>267.09</v>
      </c>
      <c r="I316" s="7">
        <v>2781.0</v>
      </c>
      <c r="J316" s="7">
        <v>0.096</v>
      </c>
      <c r="K316" s="7">
        <v>2178.0</v>
      </c>
      <c r="L316" s="7">
        <v>3674.13</v>
      </c>
      <c r="M316" s="7">
        <v>3124.0</v>
      </c>
      <c r="N316" s="7">
        <v>1.176</v>
      </c>
      <c r="O316" s="8">
        <v>2581.0</v>
      </c>
      <c r="P316" s="7">
        <v>5390.33</v>
      </c>
      <c r="Q316" s="7">
        <v>2583240.0</v>
      </c>
      <c r="R316" s="7">
        <v>2.09</v>
      </c>
      <c r="S316" s="7">
        <v>5243.0</v>
      </c>
      <c r="T316" s="7">
        <v>0.0</v>
      </c>
      <c r="U316" s="7">
        <v>0.0</v>
      </c>
      <c r="V316" s="7">
        <v>0.0</v>
      </c>
      <c r="W316" s="7">
        <v>56.0</v>
      </c>
      <c r="X316" s="7">
        <v>39.97</v>
      </c>
      <c r="Y316" s="7">
        <v>4987.0</v>
      </c>
      <c r="Z316" s="7">
        <v>8.01</v>
      </c>
      <c r="AA316" s="7">
        <v>0.0</v>
      </c>
      <c r="AB316" s="7"/>
      <c r="AC316" s="7"/>
      <c r="AD316" s="7"/>
    </row>
    <row r="317" ht="15.75" customHeight="1">
      <c r="A317" s="6">
        <v>44877.0</v>
      </c>
      <c r="B317" s="7">
        <f t="shared" si="1"/>
        <v>12</v>
      </c>
      <c r="C317" s="7">
        <f t="shared" si="2"/>
        <v>11</v>
      </c>
      <c r="D317" s="7">
        <v>9469.59</v>
      </c>
      <c r="E317" s="7">
        <v>6399.0</v>
      </c>
      <c r="F317" s="7">
        <v>10797.0</v>
      </c>
      <c r="G317" s="7">
        <v>17196.0</v>
      </c>
      <c r="H317" s="7">
        <v>243.04</v>
      </c>
      <c r="I317" s="7">
        <v>3024.0</v>
      </c>
      <c r="J317" s="7">
        <v>0.08</v>
      </c>
      <c r="K317" s="7">
        <v>2361.0</v>
      </c>
      <c r="L317" s="7">
        <v>3779.44</v>
      </c>
      <c r="M317" s="7">
        <v>3431.0</v>
      </c>
      <c r="N317" s="7">
        <v>1.102</v>
      </c>
      <c r="O317" s="8">
        <v>2853.0</v>
      </c>
      <c r="P317" s="7">
        <v>5411.33</v>
      </c>
      <c r="Q317" s="7">
        <v>2741860.0</v>
      </c>
      <c r="R317" s="7">
        <v>1.97</v>
      </c>
      <c r="S317" s="7">
        <v>5740.0</v>
      </c>
      <c r="T317" s="7">
        <v>0.0</v>
      </c>
      <c r="U317" s="7">
        <v>0.0</v>
      </c>
      <c r="V317" s="7">
        <v>0.0</v>
      </c>
      <c r="W317" s="7">
        <v>74.0</v>
      </c>
      <c r="X317" s="7">
        <v>35.78</v>
      </c>
      <c r="Y317" s="7">
        <v>5279.0</v>
      </c>
      <c r="Z317" s="7">
        <v>6.78</v>
      </c>
      <c r="AA317" s="7">
        <v>0.0</v>
      </c>
      <c r="AB317" s="7"/>
      <c r="AC317" s="7"/>
      <c r="AD317" s="7"/>
    </row>
    <row r="318" ht="15.75" customHeight="1">
      <c r="A318" s="6">
        <v>44878.0</v>
      </c>
      <c r="B318" s="7">
        <f t="shared" si="1"/>
        <v>13</v>
      </c>
      <c r="C318" s="7">
        <f t="shared" si="2"/>
        <v>11</v>
      </c>
      <c r="D318" s="7">
        <v>10222.41</v>
      </c>
      <c r="E318" s="7">
        <v>7651.0</v>
      </c>
      <c r="F318" s="7">
        <v>13053.0</v>
      </c>
      <c r="G318" s="7">
        <v>20704.0</v>
      </c>
      <c r="H318" s="7">
        <v>287.01</v>
      </c>
      <c r="I318" s="7">
        <v>3702.0</v>
      </c>
      <c r="J318" s="7">
        <v>0.078</v>
      </c>
      <c r="K318" s="7">
        <v>2809.0</v>
      </c>
      <c r="L318" s="7">
        <v>4078.62</v>
      </c>
      <c r="M318" s="7">
        <v>4244.0</v>
      </c>
      <c r="N318" s="7">
        <v>0.961</v>
      </c>
      <c r="O318" s="8">
        <v>3629.0</v>
      </c>
      <c r="P318" s="7">
        <v>5816.95</v>
      </c>
      <c r="Q318" s="7">
        <v>3345308.0</v>
      </c>
      <c r="R318" s="7">
        <v>1.74</v>
      </c>
      <c r="S318" s="7">
        <v>6717.0</v>
      </c>
      <c r="T318" s="7">
        <v>0.0</v>
      </c>
      <c r="U318" s="7">
        <v>0.0</v>
      </c>
      <c r="V318" s="7">
        <v>0.0</v>
      </c>
      <c r="W318" s="7">
        <v>72.0</v>
      </c>
      <c r="X318" s="7">
        <v>39.83</v>
      </c>
      <c r="Y318" s="7">
        <v>6926.0</v>
      </c>
      <c r="Z318" s="7">
        <v>5.75</v>
      </c>
      <c r="AA318" s="7">
        <v>0.0</v>
      </c>
      <c r="AB318" s="7"/>
      <c r="AC318" s="7"/>
      <c r="AD318" s="7"/>
    </row>
    <row r="319" ht="15.75" customHeight="1">
      <c r="A319" s="6">
        <v>44879.0</v>
      </c>
      <c r="B319" s="7">
        <f t="shared" si="1"/>
        <v>14</v>
      </c>
      <c r="C319" s="7">
        <f t="shared" si="2"/>
        <v>11</v>
      </c>
      <c r="D319" s="7">
        <v>9835.62</v>
      </c>
      <c r="E319" s="7">
        <v>7669.0</v>
      </c>
      <c r="F319" s="7">
        <v>11614.0</v>
      </c>
      <c r="G319" s="7">
        <v>19283.0</v>
      </c>
      <c r="H319" s="7">
        <v>333.79</v>
      </c>
      <c r="I319" s="7">
        <v>3374.0</v>
      </c>
      <c r="J319" s="7">
        <v>0.099</v>
      </c>
      <c r="K319" s="7">
        <v>2668.0</v>
      </c>
      <c r="L319" s="7">
        <v>3859.25</v>
      </c>
      <c r="M319" s="7">
        <v>3839.0</v>
      </c>
      <c r="N319" s="7">
        <v>1.005</v>
      </c>
      <c r="O319" s="8">
        <v>3274.0</v>
      </c>
      <c r="P319" s="7">
        <v>5605.97</v>
      </c>
      <c r="Q319" s="7">
        <v>3077233.0</v>
      </c>
      <c r="R319" s="7">
        <v>1.82</v>
      </c>
      <c r="S319" s="7">
        <v>5659.0</v>
      </c>
      <c r="T319" s="7">
        <v>0.0</v>
      </c>
      <c r="U319" s="7">
        <v>0.0</v>
      </c>
      <c r="V319" s="7">
        <v>0.0</v>
      </c>
      <c r="W319" s="7">
        <v>98.0</v>
      </c>
      <c r="X319" s="7">
        <v>36.61</v>
      </c>
      <c r="Y319" s="7">
        <v>5601.0</v>
      </c>
      <c r="Z319" s="7">
        <v>6.54</v>
      </c>
      <c r="AA319" s="7">
        <v>0.0</v>
      </c>
      <c r="AB319" s="7"/>
      <c r="AC319" s="7"/>
      <c r="AD319" s="7"/>
    </row>
    <row r="320" ht="15.75" customHeight="1">
      <c r="A320" s="6">
        <v>44880.0</v>
      </c>
      <c r="B320" s="7">
        <f t="shared" si="1"/>
        <v>15</v>
      </c>
      <c r="C320" s="7">
        <f t="shared" si="2"/>
        <v>11</v>
      </c>
      <c r="D320" s="7">
        <v>9852.65</v>
      </c>
      <c r="E320" s="7">
        <v>7188.0</v>
      </c>
      <c r="F320" s="7">
        <v>10684.0</v>
      </c>
      <c r="G320" s="7">
        <v>17872.0</v>
      </c>
      <c r="H320" s="7">
        <v>321.14</v>
      </c>
      <c r="I320" s="7">
        <v>3244.0</v>
      </c>
      <c r="J320" s="7">
        <v>0.099</v>
      </c>
      <c r="K320" s="7">
        <v>2530.0</v>
      </c>
      <c r="L320" s="7">
        <v>3865.63</v>
      </c>
      <c r="M320" s="7">
        <v>3682.0</v>
      </c>
      <c r="N320" s="7">
        <v>1.05</v>
      </c>
      <c r="O320" s="8">
        <v>3105.0</v>
      </c>
      <c r="P320" s="7">
        <v>5613.05</v>
      </c>
      <c r="Q320" s="7">
        <v>2768853.0</v>
      </c>
      <c r="R320" s="7">
        <v>2.03</v>
      </c>
      <c r="S320" s="7">
        <v>5116.0</v>
      </c>
      <c r="T320" s="7">
        <v>0.0</v>
      </c>
      <c r="U320" s="7">
        <v>0.0</v>
      </c>
      <c r="V320" s="7">
        <v>0.0</v>
      </c>
      <c r="W320" s="7">
        <v>63.0</v>
      </c>
      <c r="X320" s="7">
        <v>52.83</v>
      </c>
      <c r="Y320" s="7">
        <v>20198.0</v>
      </c>
      <c r="Z320" s="7">
        <v>2.62</v>
      </c>
      <c r="AA320" s="7">
        <v>5.0</v>
      </c>
      <c r="AB320" s="7"/>
      <c r="AC320" s="7"/>
      <c r="AD320" s="7"/>
    </row>
    <row r="321" ht="15.75" customHeight="1">
      <c r="A321" s="6">
        <v>44881.0</v>
      </c>
      <c r="B321" s="7">
        <f t="shared" si="1"/>
        <v>16</v>
      </c>
      <c r="C321" s="7">
        <f t="shared" si="2"/>
        <v>11</v>
      </c>
      <c r="D321" s="7">
        <v>9417.16</v>
      </c>
      <c r="E321" s="7">
        <v>7395.0</v>
      </c>
      <c r="F321" s="7">
        <v>9911.0</v>
      </c>
      <c r="G321" s="7">
        <v>17306.0</v>
      </c>
      <c r="H321" s="7">
        <v>214.4</v>
      </c>
      <c r="I321" s="7">
        <v>3049.0</v>
      </c>
      <c r="J321" s="7">
        <v>0.07</v>
      </c>
      <c r="K321" s="7">
        <v>2384.0</v>
      </c>
      <c r="L321" s="7">
        <v>3745.62</v>
      </c>
      <c r="M321" s="7">
        <v>3704.0</v>
      </c>
      <c r="N321" s="7">
        <v>1.011</v>
      </c>
      <c r="O321" s="8">
        <v>3166.0</v>
      </c>
      <c r="P321" s="7">
        <v>5402.92</v>
      </c>
      <c r="Q321" s="7">
        <v>2502387.0</v>
      </c>
      <c r="R321" s="7">
        <v>2.16</v>
      </c>
      <c r="S321" s="7">
        <v>4515.0</v>
      </c>
      <c r="T321" s="7">
        <v>0.0</v>
      </c>
      <c r="U321" s="7">
        <v>0.0</v>
      </c>
      <c r="V321" s="7">
        <v>0.0</v>
      </c>
      <c r="W321" s="7">
        <v>71.0</v>
      </c>
      <c r="X321" s="7">
        <v>54.22</v>
      </c>
      <c r="Y321" s="7">
        <v>20088.0</v>
      </c>
      <c r="Z321" s="7">
        <v>2.7</v>
      </c>
      <c r="AA321" s="7">
        <v>6.0</v>
      </c>
      <c r="AB321" s="7"/>
      <c r="AC321" s="7"/>
      <c r="AD321" s="7"/>
    </row>
    <row r="322" ht="15.75" customHeight="1">
      <c r="A322" s="6">
        <v>44882.0</v>
      </c>
      <c r="B322" s="7">
        <f t="shared" si="1"/>
        <v>17</v>
      </c>
      <c r="C322" s="7">
        <f t="shared" si="2"/>
        <v>11</v>
      </c>
      <c r="D322" s="7">
        <v>9762.53</v>
      </c>
      <c r="E322" s="7">
        <v>7126.0</v>
      </c>
      <c r="F322" s="7">
        <v>9682.0</v>
      </c>
      <c r="G322" s="7">
        <v>16808.0</v>
      </c>
      <c r="H322" s="7">
        <v>282.73</v>
      </c>
      <c r="I322" s="7">
        <v>2863.0</v>
      </c>
      <c r="J322" s="7">
        <v>0.099</v>
      </c>
      <c r="K322" s="7">
        <v>2227.0</v>
      </c>
      <c r="L322" s="7">
        <v>3832.96</v>
      </c>
      <c r="M322" s="7">
        <v>4062.0</v>
      </c>
      <c r="N322" s="7">
        <v>0.944</v>
      </c>
      <c r="O322" s="8">
        <v>3073.0</v>
      </c>
      <c r="P322" s="7">
        <v>5584.77</v>
      </c>
      <c r="Q322" s="7">
        <v>2587916.0</v>
      </c>
      <c r="R322" s="7">
        <v>2.16</v>
      </c>
      <c r="S322" s="7">
        <v>4297.0</v>
      </c>
      <c r="T322" s="7">
        <v>0.0</v>
      </c>
      <c r="U322" s="7">
        <v>0.0</v>
      </c>
      <c r="V322" s="7">
        <v>0.0</v>
      </c>
      <c r="W322" s="7">
        <v>73.0</v>
      </c>
      <c r="X322" s="7">
        <v>62.07</v>
      </c>
      <c r="Y322" s="7">
        <v>25926.0</v>
      </c>
      <c r="Z322" s="7">
        <v>2.39</v>
      </c>
      <c r="AA322" s="7">
        <v>6.0</v>
      </c>
      <c r="AB322" s="7"/>
      <c r="AC322" s="7"/>
      <c r="AD322" s="7"/>
    </row>
    <row r="323" ht="15.75" customHeight="1">
      <c r="A323" s="6">
        <v>44883.0</v>
      </c>
      <c r="B323" s="7">
        <f t="shared" si="1"/>
        <v>18</v>
      </c>
      <c r="C323" s="7">
        <f t="shared" si="2"/>
        <v>11</v>
      </c>
      <c r="D323" s="7">
        <v>9588.59</v>
      </c>
      <c r="E323" s="7">
        <v>6175.0</v>
      </c>
      <c r="F323" s="7">
        <v>9537.0</v>
      </c>
      <c r="G323" s="7">
        <v>15712.0</v>
      </c>
      <c r="H323" s="7">
        <v>225.56</v>
      </c>
      <c r="I323" s="7">
        <v>2743.0</v>
      </c>
      <c r="J323" s="7">
        <v>0.082</v>
      </c>
      <c r="K323" s="7">
        <v>2139.0</v>
      </c>
      <c r="L323" s="7">
        <v>3775.59</v>
      </c>
      <c r="M323" s="7">
        <v>3811.0</v>
      </c>
      <c r="N323" s="7">
        <v>0.991</v>
      </c>
      <c r="O323" s="8">
        <v>2963.0</v>
      </c>
      <c r="P323" s="7">
        <v>5530.49</v>
      </c>
      <c r="Q323" s="7">
        <v>2578833.0</v>
      </c>
      <c r="R323" s="7">
        <v>2.14</v>
      </c>
      <c r="S323" s="7">
        <v>4262.0</v>
      </c>
      <c r="T323" s="7">
        <v>0.0</v>
      </c>
      <c r="U323" s="7">
        <v>0.0</v>
      </c>
      <c r="V323" s="7">
        <v>0.0</v>
      </c>
      <c r="W323" s="7">
        <v>55.0</v>
      </c>
      <c r="X323" s="7">
        <v>56.95</v>
      </c>
      <c r="Y323" s="7">
        <v>20887.0</v>
      </c>
      <c r="Z323" s="7">
        <v>2.73</v>
      </c>
      <c r="AA323" s="7">
        <v>4.0</v>
      </c>
      <c r="AB323" s="7"/>
      <c r="AC323" s="7"/>
      <c r="AD323" s="7"/>
    </row>
    <row r="324" ht="15.75" customHeight="1">
      <c r="A324" s="6">
        <v>44884.0</v>
      </c>
      <c r="B324" s="7">
        <f t="shared" si="1"/>
        <v>19</v>
      </c>
      <c r="C324" s="7">
        <f t="shared" si="2"/>
        <v>11</v>
      </c>
      <c r="D324" s="7">
        <v>10360.95</v>
      </c>
      <c r="E324" s="7">
        <v>6660.0</v>
      </c>
      <c r="F324" s="7">
        <v>10563.0</v>
      </c>
      <c r="G324" s="7">
        <v>17223.0</v>
      </c>
      <c r="H324" s="7">
        <v>279.43</v>
      </c>
      <c r="I324" s="7">
        <v>3278.0</v>
      </c>
      <c r="J324" s="7">
        <v>0.085</v>
      </c>
      <c r="K324" s="7">
        <v>2427.0</v>
      </c>
      <c r="L324" s="7">
        <v>4121.21</v>
      </c>
      <c r="M324" s="7">
        <v>4336.0</v>
      </c>
      <c r="N324" s="7">
        <v>0.95</v>
      </c>
      <c r="O324" s="8">
        <v>3179.0</v>
      </c>
      <c r="P324" s="7">
        <v>5902.14</v>
      </c>
      <c r="Q324" s="7">
        <v>2810560.0</v>
      </c>
      <c r="R324" s="7">
        <v>2.1</v>
      </c>
      <c r="S324" s="7">
        <v>4830.0</v>
      </c>
      <c r="T324" s="7">
        <v>0.0</v>
      </c>
      <c r="U324" s="7">
        <v>0.0</v>
      </c>
      <c r="V324" s="7">
        <v>0.0</v>
      </c>
      <c r="W324" s="7">
        <v>75.0</v>
      </c>
      <c r="X324" s="7">
        <v>58.17</v>
      </c>
      <c r="Y324" s="7">
        <v>21319.0</v>
      </c>
      <c r="Z324" s="7">
        <v>2.73</v>
      </c>
      <c r="AA324" s="7">
        <v>7.0</v>
      </c>
      <c r="AB324" s="7"/>
      <c r="AC324" s="7"/>
      <c r="AD324" s="7"/>
    </row>
    <row r="325" ht="15.75" customHeight="1">
      <c r="A325" s="6">
        <v>44885.0</v>
      </c>
      <c r="B325" s="7">
        <f t="shared" si="1"/>
        <v>20</v>
      </c>
      <c r="C325" s="7">
        <f t="shared" si="2"/>
        <v>11</v>
      </c>
      <c r="D325" s="7">
        <v>11080.21</v>
      </c>
      <c r="E325" s="7">
        <v>7873.0</v>
      </c>
      <c r="F325" s="7">
        <v>12222.0</v>
      </c>
      <c r="G325" s="7">
        <v>20095.0</v>
      </c>
      <c r="H325" s="7">
        <v>360.35</v>
      </c>
      <c r="I325" s="7">
        <v>3765.0</v>
      </c>
      <c r="J325" s="7">
        <v>0.096</v>
      </c>
      <c r="K325" s="7">
        <v>2698.0</v>
      </c>
      <c r="L325" s="7">
        <v>4292.79</v>
      </c>
      <c r="M325" s="7">
        <v>4881.0</v>
      </c>
      <c r="N325" s="7">
        <v>0.879</v>
      </c>
      <c r="O325" s="8">
        <v>3714.0</v>
      </c>
      <c r="P325" s="7">
        <v>6369.69</v>
      </c>
      <c r="Q325" s="7">
        <v>3238850.0</v>
      </c>
      <c r="R325" s="7">
        <v>1.97</v>
      </c>
      <c r="S325" s="7">
        <v>5652.0</v>
      </c>
      <c r="T325" s="7">
        <v>0.0</v>
      </c>
      <c r="U325" s="7">
        <v>0.0</v>
      </c>
      <c r="V325" s="7">
        <v>0.0</v>
      </c>
      <c r="W325" s="7">
        <v>53.0</v>
      </c>
      <c r="X325" s="7">
        <v>57.38</v>
      </c>
      <c r="Y325" s="7">
        <v>26243.0</v>
      </c>
      <c r="Z325" s="7">
        <v>2.19</v>
      </c>
      <c r="AA325" s="7">
        <v>6.0</v>
      </c>
      <c r="AB325" s="7"/>
      <c r="AC325" s="7"/>
      <c r="AD325" s="7"/>
    </row>
    <row r="326" ht="15.75" customHeight="1">
      <c r="A326" s="6">
        <v>44886.0</v>
      </c>
      <c r="B326" s="7">
        <f t="shared" si="1"/>
        <v>21</v>
      </c>
      <c r="C326" s="7">
        <f t="shared" si="2"/>
        <v>11</v>
      </c>
      <c r="D326" s="7">
        <v>9935.56</v>
      </c>
      <c r="E326" s="7">
        <v>7089.0</v>
      </c>
      <c r="F326" s="7">
        <v>10778.0</v>
      </c>
      <c r="G326" s="7">
        <v>17867.0</v>
      </c>
      <c r="H326" s="7">
        <v>412.7</v>
      </c>
      <c r="I326" s="7">
        <v>3115.0</v>
      </c>
      <c r="J326" s="7">
        <v>0.132</v>
      </c>
      <c r="K326" s="7">
        <v>2475.0</v>
      </c>
      <c r="L326" s="7">
        <v>3832.2</v>
      </c>
      <c r="M326" s="7">
        <v>4225.0</v>
      </c>
      <c r="N326" s="7">
        <v>0.907</v>
      </c>
      <c r="O326" s="8">
        <v>3472.0</v>
      </c>
      <c r="P326" s="7">
        <v>5633.23</v>
      </c>
      <c r="Q326" s="7">
        <v>2738328.0</v>
      </c>
      <c r="R326" s="7">
        <v>2.06</v>
      </c>
      <c r="S326" s="7">
        <v>4823.0</v>
      </c>
      <c r="T326" s="7">
        <v>0.03</v>
      </c>
      <c r="U326" s="7">
        <v>0.0</v>
      </c>
      <c r="V326" s="7">
        <v>0.0</v>
      </c>
      <c r="W326" s="7">
        <v>88.0</v>
      </c>
      <c r="X326" s="7">
        <v>57.4</v>
      </c>
      <c r="Y326" s="7">
        <v>27254.0</v>
      </c>
      <c r="Z326" s="7">
        <v>2.11</v>
      </c>
      <c r="AA326" s="7">
        <v>10.0</v>
      </c>
      <c r="AB326" s="7"/>
      <c r="AC326" s="7"/>
      <c r="AD326" s="7"/>
    </row>
    <row r="327" ht="15.75" customHeight="1">
      <c r="A327" s="6">
        <v>44887.0</v>
      </c>
      <c r="B327" s="7">
        <f t="shared" si="1"/>
        <v>22</v>
      </c>
      <c r="C327" s="7">
        <f t="shared" si="2"/>
        <v>11</v>
      </c>
      <c r="D327" s="7">
        <v>9033.1</v>
      </c>
      <c r="E327" s="7">
        <v>7649.0</v>
      </c>
      <c r="F327" s="7">
        <v>10497.0</v>
      </c>
      <c r="G327" s="7">
        <v>18146.0</v>
      </c>
      <c r="H327" s="7">
        <v>272.86</v>
      </c>
      <c r="I327" s="7">
        <v>3072.0</v>
      </c>
      <c r="J327" s="7">
        <v>0.089</v>
      </c>
      <c r="K327" s="7">
        <v>2303.0</v>
      </c>
      <c r="L327" s="7">
        <v>3694.4</v>
      </c>
      <c r="M327" s="7">
        <v>4039.0</v>
      </c>
      <c r="N327" s="7">
        <v>0.915</v>
      </c>
      <c r="O327" s="8">
        <v>3397.0</v>
      </c>
      <c r="P327" s="7">
        <v>5010.38</v>
      </c>
      <c r="Q327" s="7">
        <v>2372524.0</v>
      </c>
      <c r="R327" s="7">
        <v>2.11</v>
      </c>
      <c r="S327" s="7">
        <v>4582.0</v>
      </c>
      <c r="T327" s="7">
        <v>0.0</v>
      </c>
      <c r="U327" s="7">
        <v>0.0</v>
      </c>
      <c r="V327" s="7">
        <v>0.0</v>
      </c>
      <c r="W327" s="7">
        <v>55.0</v>
      </c>
      <c r="X327" s="7">
        <v>55.46</v>
      </c>
      <c r="Y327" s="7">
        <v>26187.0</v>
      </c>
      <c r="Z327" s="7">
        <v>2.12</v>
      </c>
      <c r="AA327" s="7">
        <v>8.0</v>
      </c>
      <c r="AB327" s="7"/>
      <c r="AC327" s="7"/>
      <c r="AD327" s="7"/>
    </row>
    <row r="328" ht="15.75" customHeight="1">
      <c r="A328" s="6">
        <v>44888.0</v>
      </c>
      <c r="B328" s="7">
        <f t="shared" si="1"/>
        <v>23</v>
      </c>
      <c r="C328" s="7">
        <f t="shared" si="2"/>
        <v>11</v>
      </c>
      <c r="D328" s="7">
        <v>8364.93</v>
      </c>
      <c r="E328" s="7">
        <v>7215.0</v>
      </c>
      <c r="F328" s="7">
        <v>9805.0</v>
      </c>
      <c r="G328" s="7">
        <v>17020.0</v>
      </c>
      <c r="H328" s="7">
        <v>265.41</v>
      </c>
      <c r="I328" s="7">
        <v>3153.0</v>
      </c>
      <c r="J328" s="7">
        <v>0.084</v>
      </c>
      <c r="K328" s="7">
        <v>2471.0</v>
      </c>
      <c r="L328" s="7">
        <v>3430.23</v>
      </c>
      <c r="M328" s="7">
        <v>3634.0</v>
      </c>
      <c r="N328" s="7">
        <v>0.944</v>
      </c>
      <c r="O328" s="8">
        <v>3122.0</v>
      </c>
      <c r="P328" s="7">
        <v>4607.48</v>
      </c>
      <c r="Q328" s="7">
        <v>1933765.0</v>
      </c>
      <c r="R328" s="7">
        <v>2.38</v>
      </c>
      <c r="S328" s="7">
        <v>4315.0</v>
      </c>
      <c r="T328" s="7">
        <v>0.0</v>
      </c>
      <c r="U328" s="7">
        <v>0.0</v>
      </c>
      <c r="V328" s="7">
        <v>0.0</v>
      </c>
      <c r="W328" s="7">
        <v>66.0</v>
      </c>
      <c r="X328" s="7">
        <v>61.81</v>
      </c>
      <c r="Y328" s="7">
        <v>24980.0</v>
      </c>
      <c r="Z328" s="7">
        <v>2.47</v>
      </c>
      <c r="AA328" s="7">
        <v>12.0</v>
      </c>
      <c r="AB328" s="7"/>
      <c r="AC328" s="7"/>
      <c r="AD328" s="7"/>
    </row>
    <row r="329" ht="15.75" customHeight="1">
      <c r="A329" s="6">
        <v>44889.0</v>
      </c>
      <c r="B329" s="7">
        <f t="shared" si="1"/>
        <v>24</v>
      </c>
      <c r="C329" s="7">
        <f t="shared" si="2"/>
        <v>11</v>
      </c>
      <c r="D329" s="7">
        <v>8265.35</v>
      </c>
      <c r="E329" s="7">
        <v>7465.0</v>
      </c>
      <c r="F329" s="7">
        <v>9706.0</v>
      </c>
      <c r="G329" s="7">
        <v>17171.0</v>
      </c>
      <c r="H329" s="7">
        <v>278.43</v>
      </c>
      <c r="I329" s="7">
        <v>3192.0</v>
      </c>
      <c r="J329" s="7">
        <v>0.087</v>
      </c>
      <c r="K329" s="7">
        <v>2511.0</v>
      </c>
      <c r="L329" s="7">
        <v>3515.31</v>
      </c>
      <c r="M329" s="7">
        <v>3560.0</v>
      </c>
      <c r="N329" s="7">
        <v>0.987</v>
      </c>
      <c r="O329" s="8">
        <v>3014.0</v>
      </c>
      <c r="P329" s="7">
        <v>4423.55</v>
      </c>
      <c r="Q329" s="7">
        <v>1856963.0</v>
      </c>
      <c r="R329" s="7">
        <v>2.38</v>
      </c>
      <c r="S329" s="7">
        <v>4152.0</v>
      </c>
      <c r="T329" s="7">
        <v>0.0</v>
      </c>
      <c r="U329" s="7">
        <v>0.0</v>
      </c>
      <c r="V329" s="7">
        <v>0.0</v>
      </c>
      <c r="W329" s="7">
        <v>73.0</v>
      </c>
      <c r="X329" s="7">
        <v>48.06</v>
      </c>
      <c r="Y329" s="7">
        <v>12565.0</v>
      </c>
      <c r="Z329" s="7">
        <v>3.82</v>
      </c>
      <c r="AA329" s="7">
        <v>2.0</v>
      </c>
      <c r="AB329" s="7"/>
      <c r="AC329" s="7"/>
      <c r="AD329" s="7"/>
    </row>
    <row r="330" ht="15.75" customHeight="1">
      <c r="A330" s="6">
        <v>44890.0</v>
      </c>
      <c r="B330" s="7">
        <f t="shared" si="1"/>
        <v>25</v>
      </c>
      <c r="C330" s="7">
        <f t="shared" si="2"/>
        <v>11</v>
      </c>
      <c r="D330" s="7">
        <v>8919.29</v>
      </c>
      <c r="E330" s="7">
        <v>11276.0</v>
      </c>
      <c r="F330" s="7">
        <v>10755.0</v>
      </c>
      <c r="G330" s="7">
        <v>22031.0</v>
      </c>
      <c r="H330" s="7">
        <v>460.86</v>
      </c>
      <c r="I330" s="7">
        <v>3886.0</v>
      </c>
      <c r="J330" s="7">
        <v>0.119</v>
      </c>
      <c r="K330" s="7">
        <v>3088.0</v>
      </c>
      <c r="L330" s="7">
        <v>3614.38</v>
      </c>
      <c r="M330" s="7">
        <v>3584.0</v>
      </c>
      <c r="N330" s="7">
        <v>1.008</v>
      </c>
      <c r="O330" s="8">
        <v>3219.0</v>
      </c>
      <c r="P330" s="7">
        <v>4602.0</v>
      </c>
      <c r="Q330" s="7">
        <v>1826350.0</v>
      </c>
      <c r="R330" s="7">
        <v>2.52</v>
      </c>
      <c r="S330" s="7">
        <v>4309.0</v>
      </c>
      <c r="T330" s="7">
        <v>107.51</v>
      </c>
      <c r="U330" s="7">
        <v>78.0</v>
      </c>
      <c r="V330" s="7">
        <v>1.38</v>
      </c>
      <c r="W330" s="7">
        <v>95.0</v>
      </c>
      <c r="X330" s="7">
        <v>134.54</v>
      </c>
      <c r="Y330" s="7">
        <v>67615.0</v>
      </c>
      <c r="Z330" s="7">
        <v>1.99</v>
      </c>
      <c r="AA330" s="7">
        <v>28.0</v>
      </c>
      <c r="AB330" s="7"/>
      <c r="AC330" s="7"/>
      <c r="AD330" s="7"/>
    </row>
    <row r="331" ht="15.75" customHeight="1">
      <c r="A331" s="6">
        <v>44891.0</v>
      </c>
      <c r="B331" s="7">
        <f t="shared" si="1"/>
        <v>26</v>
      </c>
      <c r="C331" s="7">
        <f t="shared" si="2"/>
        <v>11</v>
      </c>
      <c r="D331" s="7">
        <v>9445.42</v>
      </c>
      <c r="E331" s="7">
        <v>8097.0</v>
      </c>
      <c r="F331" s="7">
        <v>10969.0</v>
      </c>
      <c r="G331" s="7">
        <v>19066.0</v>
      </c>
      <c r="H331" s="7">
        <v>400.59</v>
      </c>
      <c r="I331" s="7">
        <v>3394.0</v>
      </c>
      <c r="J331" s="7">
        <v>0.118</v>
      </c>
      <c r="K331" s="7">
        <v>2523.0</v>
      </c>
      <c r="L331" s="7">
        <v>3906.82</v>
      </c>
      <c r="M331" s="7">
        <v>4110.0</v>
      </c>
      <c r="N331" s="7">
        <v>0.951</v>
      </c>
      <c r="O331" s="8">
        <v>3387.0</v>
      </c>
      <c r="P331" s="7">
        <v>4756.74</v>
      </c>
      <c r="Q331" s="7">
        <v>1967009.0</v>
      </c>
      <c r="R331" s="7">
        <v>2.42</v>
      </c>
      <c r="S331" s="7">
        <v>4799.0</v>
      </c>
      <c r="T331" s="7">
        <v>246.59</v>
      </c>
      <c r="U331" s="7">
        <v>212.0</v>
      </c>
      <c r="V331" s="7">
        <v>1.16</v>
      </c>
      <c r="W331" s="7">
        <v>112.0</v>
      </c>
      <c r="X331" s="7">
        <v>134.68</v>
      </c>
      <c r="Y331" s="7">
        <v>65694.0</v>
      </c>
      <c r="Z331" s="7">
        <v>2.05</v>
      </c>
      <c r="AA331" s="7">
        <v>57.0</v>
      </c>
      <c r="AB331" s="7"/>
      <c r="AC331" s="7"/>
      <c r="AD331" s="7"/>
    </row>
    <row r="332" ht="15.75" customHeight="1">
      <c r="A332" s="6">
        <v>44892.0</v>
      </c>
      <c r="B332" s="7">
        <f t="shared" si="1"/>
        <v>27</v>
      </c>
      <c r="C332" s="7">
        <f t="shared" si="2"/>
        <v>11</v>
      </c>
      <c r="D332" s="7">
        <v>10025.81</v>
      </c>
      <c r="E332" s="7">
        <v>9182.0</v>
      </c>
      <c r="F332" s="7">
        <v>13064.0</v>
      </c>
      <c r="G332" s="7">
        <v>22246.0</v>
      </c>
      <c r="H332" s="7">
        <v>453.51</v>
      </c>
      <c r="I332" s="7">
        <v>4170.0</v>
      </c>
      <c r="J332" s="7">
        <v>0.109</v>
      </c>
      <c r="K332" s="7">
        <v>3158.0</v>
      </c>
      <c r="L332" s="7">
        <v>3908.94</v>
      </c>
      <c r="M332" s="7">
        <v>4640.0</v>
      </c>
      <c r="N332" s="7">
        <v>0.842</v>
      </c>
      <c r="O332" s="8">
        <v>4012.0</v>
      </c>
      <c r="P332" s="7">
        <v>5264.43</v>
      </c>
      <c r="Q332" s="7">
        <v>2435091.0</v>
      </c>
      <c r="R332" s="7">
        <v>2.16</v>
      </c>
      <c r="S332" s="7">
        <v>5703.0</v>
      </c>
      <c r="T332" s="7">
        <v>264.53</v>
      </c>
      <c r="U332" s="7">
        <v>163.0</v>
      </c>
      <c r="V332" s="7">
        <v>1.62</v>
      </c>
      <c r="W332" s="7">
        <v>124.0</v>
      </c>
      <c r="X332" s="7">
        <v>134.4</v>
      </c>
      <c r="Y332" s="7">
        <v>70438.0</v>
      </c>
      <c r="Z332" s="7">
        <v>1.91</v>
      </c>
      <c r="AA332" s="7">
        <v>58.0</v>
      </c>
      <c r="AB332" s="7"/>
      <c r="AC332" s="7"/>
      <c r="AD332" s="7"/>
    </row>
    <row r="333" ht="15.75" customHeight="1">
      <c r="A333" s="6">
        <v>44893.0</v>
      </c>
      <c r="B333" s="7">
        <f t="shared" si="1"/>
        <v>28</v>
      </c>
      <c r="C333" s="7">
        <f t="shared" si="2"/>
        <v>11</v>
      </c>
      <c r="D333" s="7">
        <v>8342.43</v>
      </c>
      <c r="E333" s="7">
        <v>9820.0</v>
      </c>
      <c r="F333" s="7">
        <v>8908.0</v>
      </c>
      <c r="G333" s="7">
        <v>18728.0</v>
      </c>
      <c r="H333" s="7">
        <v>323.63</v>
      </c>
      <c r="I333" s="7">
        <v>3464.0</v>
      </c>
      <c r="J333" s="7">
        <v>0.093</v>
      </c>
      <c r="K333" s="7">
        <v>2373.0</v>
      </c>
      <c r="L333" s="7">
        <v>3759.7</v>
      </c>
      <c r="M333" s="7">
        <v>4126.0</v>
      </c>
      <c r="N333" s="7">
        <v>0.911</v>
      </c>
      <c r="O333" s="8">
        <v>2994.0</v>
      </c>
      <c r="P333" s="7">
        <v>4207.09</v>
      </c>
      <c r="Q333" s="7">
        <v>2092590.0</v>
      </c>
      <c r="R333" s="7">
        <v>2.01</v>
      </c>
      <c r="S333" s="7">
        <v>3422.0</v>
      </c>
      <c r="T333" s="7">
        <v>0.0</v>
      </c>
      <c r="U333" s="7">
        <v>0.0</v>
      </c>
      <c r="V333" s="7">
        <v>0.0</v>
      </c>
      <c r="W333" s="7">
        <v>69.0</v>
      </c>
      <c r="X333" s="7">
        <v>52.01</v>
      </c>
      <c r="Y333" s="7">
        <v>20653.0</v>
      </c>
      <c r="Z333" s="7">
        <v>2.52</v>
      </c>
      <c r="AA333" s="7">
        <v>5.0</v>
      </c>
      <c r="AB333" s="7"/>
      <c r="AC333" s="7"/>
      <c r="AD333" s="7"/>
    </row>
    <row r="334" ht="15.75" customHeight="1">
      <c r="A334" s="6">
        <v>44894.0</v>
      </c>
      <c r="B334" s="7">
        <f t="shared" si="1"/>
        <v>29</v>
      </c>
      <c r="C334" s="7">
        <f t="shared" si="2"/>
        <v>11</v>
      </c>
      <c r="D334" s="7">
        <v>8170.65</v>
      </c>
      <c r="E334" s="7">
        <v>8261.0</v>
      </c>
      <c r="F334" s="7">
        <v>10983.0</v>
      </c>
      <c r="G334" s="7">
        <v>19244.0</v>
      </c>
      <c r="H334" s="7">
        <v>339.54</v>
      </c>
      <c r="I334" s="7">
        <v>3413.0</v>
      </c>
      <c r="J334" s="7">
        <v>0.099</v>
      </c>
      <c r="K334" s="7">
        <v>2733.0</v>
      </c>
      <c r="L334" s="7">
        <v>3784.79</v>
      </c>
      <c r="M334" s="7">
        <v>4611.0</v>
      </c>
      <c r="N334" s="7">
        <v>0.821</v>
      </c>
      <c r="O334" s="8">
        <v>3959.0</v>
      </c>
      <c r="P334" s="7">
        <v>3996.75</v>
      </c>
      <c r="Q334" s="7">
        <v>2091674.0</v>
      </c>
      <c r="R334" s="7">
        <v>1.91</v>
      </c>
      <c r="S334" s="7">
        <v>4311.0</v>
      </c>
      <c r="T334" s="7">
        <v>0.0</v>
      </c>
      <c r="U334" s="7">
        <v>0.0</v>
      </c>
      <c r="V334" s="7">
        <v>0.0</v>
      </c>
      <c r="W334" s="7">
        <v>65.0</v>
      </c>
      <c r="X334" s="7">
        <v>49.57</v>
      </c>
      <c r="Y334" s="7">
        <v>20068.0</v>
      </c>
      <c r="Z334" s="7">
        <v>2.47</v>
      </c>
      <c r="AA334" s="7">
        <v>2.0</v>
      </c>
      <c r="AB334" s="7"/>
      <c r="AC334" s="7"/>
      <c r="AD334" s="7"/>
    </row>
    <row r="335" ht="15.75" customHeight="1">
      <c r="A335" s="6">
        <v>44895.0</v>
      </c>
      <c r="B335" s="7">
        <f t="shared" si="1"/>
        <v>30</v>
      </c>
      <c r="C335" s="7">
        <f t="shared" si="2"/>
        <v>11</v>
      </c>
      <c r="D335" s="7">
        <v>7680.91</v>
      </c>
      <c r="E335" s="7">
        <v>8818.0</v>
      </c>
      <c r="F335" s="7">
        <v>10339.0</v>
      </c>
      <c r="G335" s="7">
        <v>19157.0</v>
      </c>
      <c r="H335" s="7">
        <v>325.31</v>
      </c>
      <c r="I335" s="7">
        <v>3178.0</v>
      </c>
      <c r="J335" s="7">
        <v>0.102</v>
      </c>
      <c r="K335" s="7">
        <v>2334.0</v>
      </c>
      <c r="L335" s="7">
        <v>3423.89</v>
      </c>
      <c r="M335" s="7">
        <v>4210.0</v>
      </c>
      <c r="N335" s="7">
        <v>0.813</v>
      </c>
      <c r="O335" s="8">
        <v>3546.0</v>
      </c>
      <c r="P335" s="7">
        <v>3882.75</v>
      </c>
      <c r="Q335" s="7">
        <v>2074301.0</v>
      </c>
      <c r="R335" s="7">
        <v>1.87</v>
      </c>
      <c r="S335" s="7">
        <v>4393.0</v>
      </c>
      <c r="T335" s="7">
        <v>0.0</v>
      </c>
      <c r="U335" s="7">
        <v>0.0</v>
      </c>
      <c r="V335" s="7">
        <v>0.0</v>
      </c>
      <c r="W335" s="7">
        <v>73.0</v>
      </c>
      <c r="X335" s="7">
        <v>48.96</v>
      </c>
      <c r="Y335" s="7">
        <v>19031.0</v>
      </c>
      <c r="Z335" s="7">
        <v>2.57</v>
      </c>
      <c r="AA335" s="7">
        <v>2.0</v>
      </c>
      <c r="AB335" s="7"/>
      <c r="AC335" s="7"/>
      <c r="AD335" s="7"/>
    </row>
    <row r="336" ht="15.75" customHeight="1">
      <c r="A336" s="6">
        <v>44896.0</v>
      </c>
      <c r="B336" s="7">
        <f t="shared" si="1"/>
        <v>1</v>
      </c>
      <c r="C336" s="7">
        <f t="shared" si="2"/>
        <v>12</v>
      </c>
      <c r="D336" s="7">
        <v>7848.29</v>
      </c>
      <c r="E336" s="7">
        <v>7775.0</v>
      </c>
      <c r="F336" s="7">
        <v>10866.0</v>
      </c>
      <c r="G336" s="7">
        <v>18641.0</v>
      </c>
      <c r="H336" s="7">
        <v>372.01</v>
      </c>
      <c r="I336" s="7">
        <v>3016.0</v>
      </c>
      <c r="J336" s="7">
        <v>0.123</v>
      </c>
      <c r="K336" s="7">
        <v>2443.0</v>
      </c>
      <c r="L336" s="7">
        <v>3633.75</v>
      </c>
      <c r="M336" s="7">
        <v>4542.0</v>
      </c>
      <c r="N336" s="7">
        <v>0.8</v>
      </c>
      <c r="O336" s="8">
        <v>3745.0</v>
      </c>
      <c r="P336" s="7">
        <v>3790.35</v>
      </c>
      <c r="Q336" s="7">
        <v>2193115.0</v>
      </c>
      <c r="R336" s="7">
        <v>1.73</v>
      </c>
      <c r="S336" s="7">
        <v>4601.0</v>
      </c>
      <c r="T336" s="7">
        <v>0.0</v>
      </c>
      <c r="U336" s="7">
        <v>0.0</v>
      </c>
      <c r="V336" s="7">
        <v>0.0</v>
      </c>
      <c r="W336" s="7">
        <v>81.0</v>
      </c>
      <c r="X336" s="7">
        <v>52.18</v>
      </c>
      <c r="Y336" s="7">
        <v>20333.0</v>
      </c>
      <c r="Z336" s="7">
        <v>2.57</v>
      </c>
      <c r="AA336" s="7">
        <v>5.0</v>
      </c>
      <c r="AB336" s="7"/>
      <c r="AC336" s="7"/>
      <c r="AD336" s="7"/>
    </row>
    <row r="337" ht="15.75" customHeight="1">
      <c r="A337" s="6">
        <v>44897.0</v>
      </c>
      <c r="B337" s="7">
        <f t="shared" si="1"/>
        <v>2</v>
      </c>
      <c r="C337" s="7">
        <f t="shared" si="2"/>
        <v>12</v>
      </c>
      <c r="D337" s="7">
        <v>8375.1</v>
      </c>
      <c r="E337" s="7">
        <v>7012.0</v>
      </c>
      <c r="F337" s="7">
        <v>10834.0</v>
      </c>
      <c r="G337" s="7">
        <v>17846.0</v>
      </c>
      <c r="H337" s="7">
        <v>256.94</v>
      </c>
      <c r="I337" s="7">
        <v>2804.0</v>
      </c>
      <c r="J337" s="7">
        <v>0.092</v>
      </c>
      <c r="K337" s="7">
        <v>2184.0</v>
      </c>
      <c r="L337" s="7">
        <v>4039.15</v>
      </c>
      <c r="M337" s="7">
        <v>4864.0</v>
      </c>
      <c r="N337" s="7">
        <v>0.83</v>
      </c>
      <c r="O337" s="8">
        <v>4048.0</v>
      </c>
      <c r="P337" s="7">
        <v>4030.41</v>
      </c>
      <c r="Q337" s="7">
        <v>2245679.0</v>
      </c>
      <c r="R337" s="7">
        <v>1.79</v>
      </c>
      <c r="S337" s="7">
        <v>4683.0</v>
      </c>
      <c r="T337" s="7">
        <v>0.0</v>
      </c>
      <c r="U337" s="7">
        <v>0.0</v>
      </c>
      <c r="V337" s="7">
        <v>0.0</v>
      </c>
      <c r="W337" s="7">
        <v>90.0</v>
      </c>
      <c r="X337" s="7">
        <v>48.6</v>
      </c>
      <c r="Y337" s="7">
        <v>17219.0</v>
      </c>
      <c r="Z337" s="7">
        <v>2.82</v>
      </c>
      <c r="AA337" s="7">
        <v>9.0</v>
      </c>
      <c r="AB337" s="7"/>
      <c r="AC337" s="7"/>
      <c r="AD337" s="7"/>
    </row>
    <row r="338" ht="15.75" customHeight="1">
      <c r="A338" s="6">
        <v>44898.0</v>
      </c>
      <c r="B338" s="7">
        <f t="shared" si="1"/>
        <v>3</v>
      </c>
      <c r="C338" s="7">
        <f t="shared" si="2"/>
        <v>12</v>
      </c>
      <c r="D338" s="7">
        <v>8973.51</v>
      </c>
      <c r="E338" s="7">
        <v>6433.0</v>
      </c>
      <c r="F338" s="7">
        <v>12169.0</v>
      </c>
      <c r="G338" s="7">
        <v>18602.0</v>
      </c>
      <c r="H338" s="7">
        <v>376.82</v>
      </c>
      <c r="I338" s="7">
        <v>3258.0</v>
      </c>
      <c r="J338" s="7">
        <v>0.116</v>
      </c>
      <c r="K338" s="7">
        <v>2505.0</v>
      </c>
      <c r="L338" s="7">
        <v>4423.75</v>
      </c>
      <c r="M338" s="7">
        <v>5441.0</v>
      </c>
      <c r="N338" s="7">
        <v>0.813</v>
      </c>
      <c r="O338" s="8">
        <v>4480.0</v>
      </c>
      <c r="P338" s="7">
        <v>4124.1</v>
      </c>
      <c r="Q338" s="7">
        <v>2111140.0</v>
      </c>
      <c r="R338" s="7">
        <v>1.95</v>
      </c>
      <c r="S338" s="7">
        <v>5040.0</v>
      </c>
      <c r="T338" s="7">
        <v>0.0</v>
      </c>
      <c r="U338" s="7">
        <v>0.0</v>
      </c>
      <c r="V338" s="7">
        <v>0.0</v>
      </c>
      <c r="W338" s="7">
        <v>64.0</v>
      </c>
      <c r="X338" s="7">
        <v>48.84</v>
      </c>
      <c r="Y338" s="7">
        <v>18615.0</v>
      </c>
      <c r="Z338" s="7">
        <v>2.62</v>
      </c>
      <c r="AA338" s="7">
        <v>8.0</v>
      </c>
      <c r="AB338" s="7"/>
      <c r="AC338" s="7"/>
      <c r="AD338" s="7"/>
    </row>
    <row r="339" ht="15.75" customHeight="1">
      <c r="A339" s="6">
        <v>44899.0</v>
      </c>
      <c r="B339" s="7">
        <f t="shared" si="1"/>
        <v>4</v>
      </c>
      <c r="C339" s="7">
        <f t="shared" si="2"/>
        <v>12</v>
      </c>
      <c r="D339" s="7">
        <v>8926.74</v>
      </c>
      <c r="E339" s="7">
        <v>7379.0</v>
      </c>
      <c r="F339" s="7">
        <v>13286.0</v>
      </c>
      <c r="G339" s="7">
        <v>20665.0</v>
      </c>
      <c r="H339" s="7">
        <v>313.83</v>
      </c>
      <c r="I339" s="7">
        <v>3831.0</v>
      </c>
      <c r="J339" s="7">
        <v>0.082</v>
      </c>
      <c r="K339" s="7">
        <v>2776.0</v>
      </c>
      <c r="L339" s="7">
        <v>4207.3</v>
      </c>
      <c r="M339" s="7">
        <v>6034.0</v>
      </c>
      <c r="N339" s="7">
        <v>0.697</v>
      </c>
      <c r="O339" s="8">
        <v>5009.0</v>
      </c>
      <c r="P339" s="7">
        <v>4356.28</v>
      </c>
      <c r="Q339" s="7">
        <v>2458875.0</v>
      </c>
      <c r="R339" s="7">
        <v>1.77</v>
      </c>
      <c r="S339" s="7">
        <v>5577.0</v>
      </c>
      <c r="T339" s="7">
        <v>0.0</v>
      </c>
      <c r="U339" s="7">
        <v>0.0</v>
      </c>
      <c r="V339" s="7">
        <v>0.0</v>
      </c>
      <c r="W339" s="7">
        <v>76.0</v>
      </c>
      <c r="X339" s="7">
        <v>49.33</v>
      </c>
      <c r="Y339" s="7">
        <v>21963.0</v>
      </c>
      <c r="Z339" s="7">
        <v>2.25</v>
      </c>
      <c r="AA339" s="7">
        <v>12.0</v>
      </c>
      <c r="AB339" s="7"/>
      <c r="AC339" s="7"/>
      <c r="AD339" s="7"/>
    </row>
    <row r="340" ht="15.75" customHeight="1">
      <c r="A340" s="6">
        <v>44900.0</v>
      </c>
      <c r="B340" s="7">
        <f t="shared" si="1"/>
        <v>5</v>
      </c>
      <c r="C340" s="7">
        <f t="shared" si="2"/>
        <v>12</v>
      </c>
      <c r="D340" s="7">
        <v>8488.24</v>
      </c>
      <c r="E340" s="7">
        <v>8014.0</v>
      </c>
      <c r="F340" s="7">
        <v>12286.0</v>
      </c>
      <c r="G340" s="7">
        <v>20300.0</v>
      </c>
      <c r="H340" s="7">
        <v>355.8</v>
      </c>
      <c r="I340" s="7">
        <v>3668.0</v>
      </c>
      <c r="J340" s="7">
        <v>0.097</v>
      </c>
      <c r="K340" s="7">
        <v>2900.0</v>
      </c>
      <c r="L340" s="7">
        <v>3867.77</v>
      </c>
      <c r="M340" s="7">
        <v>5111.0</v>
      </c>
      <c r="N340" s="7">
        <v>0.757</v>
      </c>
      <c r="O340" s="8">
        <v>4438.0</v>
      </c>
      <c r="P340" s="7">
        <v>4216.14</v>
      </c>
      <c r="Q340" s="7">
        <v>2559576.0</v>
      </c>
      <c r="R340" s="7">
        <v>1.65</v>
      </c>
      <c r="S340" s="7">
        <v>5099.0</v>
      </c>
      <c r="T340" s="7">
        <v>0.0</v>
      </c>
      <c r="U340" s="7">
        <v>0.0</v>
      </c>
      <c r="V340" s="7">
        <v>0.0</v>
      </c>
      <c r="W340" s="7">
        <v>72.0</v>
      </c>
      <c r="X340" s="7">
        <v>48.53</v>
      </c>
      <c r="Y340" s="7">
        <v>21634.0</v>
      </c>
      <c r="Z340" s="7">
        <v>2.24</v>
      </c>
      <c r="AA340" s="7">
        <v>12.0</v>
      </c>
      <c r="AB340" s="7"/>
      <c r="AC340" s="7"/>
      <c r="AD340" s="7"/>
    </row>
    <row r="341" ht="15.75" customHeight="1">
      <c r="A341" s="6">
        <v>44901.0</v>
      </c>
      <c r="B341" s="7">
        <f t="shared" si="1"/>
        <v>6</v>
      </c>
      <c r="C341" s="7">
        <f t="shared" si="2"/>
        <v>12</v>
      </c>
      <c r="D341" s="7">
        <v>8151.86</v>
      </c>
      <c r="E341" s="7">
        <v>9225.0</v>
      </c>
      <c r="F341" s="7">
        <v>10215.0</v>
      </c>
      <c r="G341" s="7">
        <v>19440.0</v>
      </c>
      <c r="H341" s="7">
        <v>341.27</v>
      </c>
      <c r="I341" s="7">
        <v>3692.0</v>
      </c>
      <c r="J341" s="7">
        <v>0.092</v>
      </c>
      <c r="K341" s="7">
        <v>2576.0</v>
      </c>
      <c r="L341" s="7">
        <v>3536.92</v>
      </c>
      <c r="M341" s="7">
        <v>4557.0</v>
      </c>
      <c r="N341" s="7">
        <v>0.776</v>
      </c>
      <c r="O341" s="8">
        <v>3297.0</v>
      </c>
      <c r="P341" s="7">
        <v>4219.3</v>
      </c>
      <c r="Q341" s="7">
        <v>2425366.0</v>
      </c>
      <c r="R341" s="7">
        <v>1.74</v>
      </c>
      <c r="S341" s="7">
        <v>4321.0</v>
      </c>
      <c r="T341" s="7">
        <v>5.22</v>
      </c>
      <c r="U341" s="7">
        <v>37.0</v>
      </c>
      <c r="V341" s="7">
        <v>0.14</v>
      </c>
      <c r="W341" s="7">
        <v>58.0</v>
      </c>
      <c r="X341" s="7">
        <v>49.15</v>
      </c>
      <c r="Y341" s="7">
        <v>21879.0</v>
      </c>
      <c r="Z341" s="7">
        <v>2.25</v>
      </c>
      <c r="AA341" s="7">
        <v>6.0</v>
      </c>
      <c r="AB341" s="7"/>
      <c r="AC341" s="7"/>
      <c r="AD341" s="7"/>
    </row>
    <row r="342" ht="15.75" customHeight="1">
      <c r="A342" s="6">
        <v>44902.0</v>
      </c>
      <c r="B342" s="7">
        <f t="shared" si="1"/>
        <v>7</v>
      </c>
      <c r="C342" s="7">
        <f t="shared" si="2"/>
        <v>12</v>
      </c>
      <c r="D342" s="7">
        <v>8031.27</v>
      </c>
      <c r="E342" s="7">
        <v>9213.0</v>
      </c>
      <c r="F342" s="7">
        <v>9405.0</v>
      </c>
      <c r="G342" s="7">
        <v>18618.0</v>
      </c>
      <c r="H342" s="7">
        <v>292.74</v>
      </c>
      <c r="I342" s="7">
        <v>3315.0</v>
      </c>
      <c r="J342" s="7">
        <v>0.088</v>
      </c>
      <c r="K342" s="7">
        <v>2246.0</v>
      </c>
      <c r="L342" s="7">
        <v>3521.09</v>
      </c>
      <c r="M342" s="7">
        <v>4625.0</v>
      </c>
      <c r="N342" s="7">
        <v>0.761</v>
      </c>
      <c r="O342" s="8">
        <v>3180.0</v>
      </c>
      <c r="P342" s="7">
        <v>4116.39</v>
      </c>
      <c r="Q342" s="7">
        <v>2240876.0</v>
      </c>
      <c r="R342" s="7">
        <v>1.84</v>
      </c>
      <c r="S342" s="7">
        <v>3896.0</v>
      </c>
      <c r="T342" s="7">
        <v>50.99</v>
      </c>
      <c r="U342" s="7">
        <v>444.0</v>
      </c>
      <c r="V342" s="7">
        <v>0.11</v>
      </c>
      <c r="W342" s="7">
        <v>88.0</v>
      </c>
      <c r="X342" s="7">
        <v>50.06</v>
      </c>
      <c r="Y342" s="7">
        <v>28854.0</v>
      </c>
      <c r="Z342" s="7">
        <v>1.73</v>
      </c>
      <c r="AA342" s="7">
        <v>8.0</v>
      </c>
      <c r="AB342" s="7"/>
      <c r="AC342" s="7"/>
      <c r="AD342" s="7"/>
    </row>
    <row r="343" ht="15.75" customHeight="1">
      <c r="A343" s="6">
        <v>44903.0</v>
      </c>
      <c r="B343" s="7">
        <f t="shared" si="1"/>
        <v>8</v>
      </c>
      <c r="C343" s="7">
        <f t="shared" si="2"/>
        <v>12</v>
      </c>
      <c r="D343" s="7">
        <v>9299.88</v>
      </c>
      <c r="E343" s="7">
        <v>7265.0</v>
      </c>
      <c r="F343" s="7">
        <v>13119.0</v>
      </c>
      <c r="G343" s="7">
        <v>20384.0</v>
      </c>
      <c r="H343" s="7">
        <v>309.9</v>
      </c>
      <c r="I343" s="7">
        <v>3611.0</v>
      </c>
      <c r="J343" s="7">
        <v>0.086</v>
      </c>
      <c r="K343" s="7">
        <v>2739.0</v>
      </c>
      <c r="L343" s="7">
        <v>4708.5</v>
      </c>
      <c r="M343" s="7">
        <v>6170.0</v>
      </c>
      <c r="N343" s="7">
        <v>0.763</v>
      </c>
      <c r="O343" s="8">
        <v>5091.0</v>
      </c>
      <c r="P343" s="7">
        <v>4050.67</v>
      </c>
      <c r="Q343" s="7">
        <v>2330926.0</v>
      </c>
      <c r="R343" s="7">
        <v>1.74</v>
      </c>
      <c r="S343" s="7">
        <v>5042.0</v>
      </c>
      <c r="T343" s="7">
        <v>183.33</v>
      </c>
      <c r="U343" s="7">
        <v>2958.0</v>
      </c>
      <c r="V343" s="7">
        <v>0.06</v>
      </c>
      <c r="W343" s="7">
        <v>296.0</v>
      </c>
      <c r="X343" s="7">
        <v>47.48</v>
      </c>
      <c r="Y343" s="7">
        <v>18241.0</v>
      </c>
      <c r="Z343" s="7">
        <v>2.6</v>
      </c>
      <c r="AA343" s="7">
        <v>9.0</v>
      </c>
      <c r="AB343" s="7"/>
      <c r="AC343" s="7"/>
      <c r="AD343" s="7"/>
    </row>
    <row r="344" ht="15.75" customHeight="1">
      <c r="A344" s="6">
        <v>44904.0</v>
      </c>
      <c r="B344" s="7">
        <f t="shared" si="1"/>
        <v>9</v>
      </c>
      <c r="C344" s="7">
        <f t="shared" si="2"/>
        <v>12</v>
      </c>
      <c r="D344" s="7">
        <v>9389.48</v>
      </c>
      <c r="E344" s="7">
        <v>6795.0</v>
      </c>
      <c r="F344" s="7">
        <v>12373.0</v>
      </c>
      <c r="G344" s="7">
        <v>19168.0</v>
      </c>
      <c r="H344" s="7">
        <v>359.92</v>
      </c>
      <c r="I344" s="7">
        <v>3355.0</v>
      </c>
      <c r="J344" s="7">
        <v>0.107</v>
      </c>
      <c r="K344" s="7">
        <v>2576.0</v>
      </c>
      <c r="L344" s="7">
        <v>4645.23</v>
      </c>
      <c r="M344" s="7">
        <v>5403.0</v>
      </c>
      <c r="N344" s="7">
        <v>0.86</v>
      </c>
      <c r="O344" s="8">
        <v>4450.0</v>
      </c>
      <c r="P344" s="7">
        <v>4121.91</v>
      </c>
      <c r="Q344" s="7">
        <v>2368663.0</v>
      </c>
      <c r="R344" s="7">
        <v>1.74</v>
      </c>
      <c r="S344" s="7">
        <v>4926.0</v>
      </c>
      <c r="T344" s="7">
        <v>206.79</v>
      </c>
      <c r="U344" s="7">
        <v>1812.0</v>
      </c>
      <c r="V344" s="7">
        <v>0.11</v>
      </c>
      <c r="W344" s="7">
        <v>350.0</v>
      </c>
      <c r="X344" s="7">
        <v>55.63</v>
      </c>
      <c r="Y344" s="7">
        <v>24918.0</v>
      </c>
      <c r="Z344" s="7">
        <v>2.23</v>
      </c>
      <c r="AA344" s="7">
        <v>8.0</v>
      </c>
      <c r="AB344" s="7"/>
      <c r="AC344" s="7"/>
      <c r="AD344" s="7"/>
    </row>
    <row r="345" ht="15.75" customHeight="1">
      <c r="A345" s="6">
        <v>44905.0</v>
      </c>
      <c r="B345" s="7">
        <f t="shared" si="1"/>
        <v>10</v>
      </c>
      <c r="C345" s="7">
        <f t="shared" si="2"/>
        <v>12</v>
      </c>
      <c r="D345" s="7">
        <v>9060.08</v>
      </c>
      <c r="E345" s="7">
        <v>6575.0</v>
      </c>
      <c r="F345" s="7">
        <v>12797.0</v>
      </c>
      <c r="G345" s="7">
        <v>19372.0</v>
      </c>
      <c r="H345" s="7">
        <v>356.71</v>
      </c>
      <c r="I345" s="7">
        <v>3468.0</v>
      </c>
      <c r="J345" s="7">
        <v>0.103</v>
      </c>
      <c r="K345" s="7">
        <v>2632.0</v>
      </c>
      <c r="L345" s="7">
        <v>4303.99</v>
      </c>
      <c r="M345" s="7">
        <v>5539.0</v>
      </c>
      <c r="N345" s="7">
        <v>0.777</v>
      </c>
      <c r="O345" s="8">
        <v>4565.0</v>
      </c>
      <c r="P345" s="7">
        <v>4148.0</v>
      </c>
      <c r="Q345" s="7">
        <v>2409792.0</v>
      </c>
      <c r="R345" s="7">
        <v>1.72</v>
      </c>
      <c r="S345" s="7">
        <v>5288.0</v>
      </c>
      <c r="T345" s="7">
        <v>199.63</v>
      </c>
      <c r="U345" s="7">
        <v>2302.0</v>
      </c>
      <c r="V345" s="7">
        <v>0.09</v>
      </c>
      <c r="W345" s="7">
        <v>340.0</v>
      </c>
      <c r="X345" s="7">
        <v>51.75</v>
      </c>
      <c r="Y345" s="7">
        <v>19398.0</v>
      </c>
      <c r="Z345" s="7">
        <v>2.67</v>
      </c>
      <c r="AA345" s="7">
        <v>4.0</v>
      </c>
      <c r="AB345" s="7"/>
      <c r="AC345" s="7"/>
      <c r="AD345" s="7"/>
    </row>
    <row r="346" ht="15.75" customHeight="1">
      <c r="A346" s="6">
        <v>44906.0</v>
      </c>
      <c r="B346" s="7">
        <f t="shared" si="1"/>
        <v>11</v>
      </c>
      <c r="C346" s="7">
        <f t="shared" si="2"/>
        <v>12</v>
      </c>
      <c r="D346" s="7">
        <v>9415.16</v>
      </c>
      <c r="E346" s="7">
        <v>7759.0</v>
      </c>
      <c r="F346" s="7">
        <v>13960.0</v>
      </c>
      <c r="G346" s="7">
        <v>21719.0</v>
      </c>
      <c r="H346" s="7">
        <v>403.06</v>
      </c>
      <c r="I346" s="7">
        <v>4040.0</v>
      </c>
      <c r="J346" s="7">
        <v>0.1</v>
      </c>
      <c r="K346" s="7">
        <v>2942.0</v>
      </c>
      <c r="L346" s="7">
        <v>4276.16</v>
      </c>
      <c r="M346" s="7">
        <v>6057.0</v>
      </c>
      <c r="N346" s="7">
        <v>0.706</v>
      </c>
      <c r="O346" s="8">
        <v>5071.0</v>
      </c>
      <c r="P346" s="7">
        <v>4486.7</v>
      </c>
      <c r="Q346" s="7">
        <v>2646456.0</v>
      </c>
      <c r="R346" s="7">
        <v>1.7</v>
      </c>
      <c r="S346" s="7">
        <v>5895.0</v>
      </c>
      <c r="T346" s="7">
        <v>200.98</v>
      </c>
      <c r="U346" s="7">
        <v>2137.0</v>
      </c>
      <c r="V346" s="7">
        <v>0.09</v>
      </c>
      <c r="W346" s="7">
        <v>401.0</v>
      </c>
      <c r="X346" s="7">
        <v>48.26</v>
      </c>
      <c r="Y346" s="7">
        <v>24764.0</v>
      </c>
      <c r="Z346" s="7">
        <v>1.95</v>
      </c>
      <c r="AA346" s="7">
        <v>8.0</v>
      </c>
      <c r="AB346" s="7"/>
      <c r="AC346" s="7"/>
      <c r="AD346" s="7"/>
    </row>
    <row r="347" ht="15.75" customHeight="1">
      <c r="A347" s="6">
        <v>44907.0</v>
      </c>
      <c r="B347" s="7">
        <f t="shared" si="1"/>
        <v>12</v>
      </c>
      <c r="C347" s="7">
        <f t="shared" si="2"/>
        <v>12</v>
      </c>
      <c r="D347" s="7">
        <v>9072.31</v>
      </c>
      <c r="E347" s="7">
        <v>7764.0</v>
      </c>
      <c r="F347" s="7">
        <v>12384.0</v>
      </c>
      <c r="G347" s="7">
        <v>20148.0</v>
      </c>
      <c r="H347" s="7">
        <v>447.5</v>
      </c>
      <c r="I347" s="7">
        <v>3510.0</v>
      </c>
      <c r="J347" s="7">
        <v>0.127</v>
      </c>
      <c r="K347" s="7">
        <v>2861.0</v>
      </c>
      <c r="L347" s="7">
        <v>3967.66</v>
      </c>
      <c r="M347" s="7">
        <v>5024.0</v>
      </c>
      <c r="N347" s="7">
        <v>0.79</v>
      </c>
      <c r="O347" s="8">
        <v>4272.0</v>
      </c>
      <c r="P347" s="7">
        <v>4416.12</v>
      </c>
      <c r="Q347" s="7">
        <v>2492164.0</v>
      </c>
      <c r="R347" s="7">
        <v>1.77</v>
      </c>
      <c r="S347" s="7">
        <v>5314.0</v>
      </c>
      <c r="T347" s="7">
        <v>198.32</v>
      </c>
      <c r="U347" s="7">
        <v>1307.0</v>
      </c>
      <c r="V347" s="7">
        <v>0.15</v>
      </c>
      <c r="W347" s="7">
        <v>357.0</v>
      </c>
      <c r="X347" s="7">
        <v>42.71</v>
      </c>
      <c r="Y347" s="7">
        <v>12379.0</v>
      </c>
      <c r="Z347" s="7">
        <v>3.45</v>
      </c>
      <c r="AA347" s="7">
        <v>7.0</v>
      </c>
      <c r="AB347" s="7"/>
      <c r="AC347" s="7"/>
      <c r="AD347" s="7"/>
    </row>
    <row r="348" ht="15.75" customHeight="1">
      <c r="A348" s="6">
        <v>44908.0</v>
      </c>
      <c r="B348" s="7">
        <f t="shared" si="1"/>
        <v>13</v>
      </c>
      <c r="C348" s="7">
        <f t="shared" si="2"/>
        <v>12</v>
      </c>
      <c r="D348" s="7">
        <v>8939.04</v>
      </c>
      <c r="E348" s="7">
        <v>8129.0</v>
      </c>
      <c r="F348" s="7">
        <v>12691.0</v>
      </c>
      <c r="G348" s="7">
        <v>20820.0</v>
      </c>
      <c r="H348" s="7">
        <v>402.14</v>
      </c>
      <c r="I348" s="7">
        <v>3213.0</v>
      </c>
      <c r="J348" s="7">
        <v>0.125</v>
      </c>
      <c r="K348" s="7">
        <v>2659.0</v>
      </c>
      <c r="L348" s="7">
        <v>3980.41</v>
      </c>
      <c r="M348" s="7">
        <v>4894.0</v>
      </c>
      <c r="N348" s="7">
        <v>0.813</v>
      </c>
      <c r="O348" s="8">
        <v>4093.0</v>
      </c>
      <c r="P348" s="7">
        <v>4368.66</v>
      </c>
      <c r="Q348" s="7">
        <v>2385295.0</v>
      </c>
      <c r="R348" s="7">
        <v>1.83</v>
      </c>
      <c r="S348" s="7">
        <v>5863.0</v>
      </c>
      <c r="T348" s="7">
        <v>157.88</v>
      </c>
      <c r="U348" s="7">
        <v>1131.0</v>
      </c>
      <c r="V348" s="7">
        <v>0.14</v>
      </c>
      <c r="W348" s="7">
        <v>308.0</v>
      </c>
      <c r="X348" s="7">
        <v>29.95</v>
      </c>
      <c r="Y348" s="7">
        <v>2472.0</v>
      </c>
      <c r="Z348" s="7">
        <v>12.12</v>
      </c>
      <c r="AA348" s="7">
        <v>1.0</v>
      </c>
      <c r="AB348" s="7"/>
      <c r="AC348" s="7"/>
      <c r="AD348" s="7"/>
    </row>
    <row r="349" ht="15.75" customHeight="1">
      <c r="A349" s="6">
        <v>44909.0</v>
      </c>
      <c r="B349" s="7">
        <f t="shared" si="1"/>
        <v>14</v>
      </c>
      <c r="C349" s="7">
        <f t="shared" si="2"/>
        <v>12</v>
      </c>
      <c r="D349" s="7">
        <v>8397.16</v>
      </c>
      <c r="E349" s="7">
        <v>7777.0</v>
      </c>
      <c r="F349" s="7">
        <v>12527.0</v>
      </c>
      <c r="G349" s="7">
        <v>20304.0</v>
      </c>
      <c r="H349" s="7">
        <v>338.18</v>
      </c>
      <c r="I349" s="7">
        <v>3059.0</v>
      </c>
      <c r="J349" s="7">
        <v>0.111</v>
      </c>
      <c r="K349" s="7">
        <v>2502.0</v>
      </c>
      <c r="L349" s="7">
        <v>3692.69</v>
      </c>
      <c r="M349" s="7">
        <v>4506.0</v>
      </c>
      <c r="N349" s="7">
        <v>0.82</v>
      </c>
      <c r="O349" s="8">
        <v>3699.0</v>
      </c>
      <c r="P349" s="7">
        <v>4160.49</v>
      </c>
      <c r="Q349" s="7">
        <v>2183121.0</v>
      </c>
      <c r="R349" s="7">
        <v>1.91</v>
      </c>
      <c r="S349" s="7">
        <v>5892.0</v>
      </c>
      <c r="T349" s="7">
        <v>170.75</v>
      </c>
      <c r="U349" s="7">
        <v>1617.0</v>
      </c>
      <c r="V349" s="7">
        <v>0.11</v>
      </c>
      <c r="W349" s="7">
        <v>375.0</v>
      </c>
      <c r="X349" s="7">
        <v>35.05</v>
      </c>
      <c r="Y349" s="7">
        <v>2335.0</v>
      </c>
      <c r="Z349" s="7">
        <v>15.01</v>
      </c>
      <c r="AA349" s="7">
        <v>0.0</v>
      </c>
      <c r="AB349" s="7"/>
      <c r="AC349" s="7"/>
      <c r="AD349" s="7"/>
    </row>
    <row r="350" ht="15.75" customHeight="1">
      <c r="A350" s="6">
        <v>44910.0</v>
      </c>
      <c r="B350" s="7">
        <f t="shared" si="1"/>
        <v>15</v>
      </c>
      <c r="C350" s="7">
        <f t="shared" si="2"/>
        <v>12</v>
      </c>
      <c r="D350" s="7">
        <v>7596.51</v>
      </c>
      <c r="E350" s="7">
        <v>6840.0</v>
      </c>
      <c r="F350" s="7">
        <v>11553.0</v>
      </c>
      <c r="G350" s="7">
        <v>18393.0</v>
      </c>
      <c r="H350" s="7">
        <v>272.11</v>
      </c>
      <c r="I350" s="7">
        <v>2880.0</v>
      </c>
      <c r="J350" s="7">
        <v>0.094</v>
      </c>
      <c r="K350" s="7">
        <v>2393.0</v>
      </c>
      <c r="L350" s="7">
        <v>3388.38</v>
      </c>
      <c r="M350" s="7">
        <v>4286.0</v>
      </c>
      <c r="N350" s="7">
        <v>0.791</v>
      </c>
      <c r="O350" s="8">
        <v>3615.0</v>
      </c>
      <c r="P350" s="7">
        <v>3746.23</v>
      </c>
      <c r="Q350" s="7">
        <v>1830714.0</v>
      </c>
      <c r="R350" s="7">
        <v>2.05</v>
      </c>
      <c r="S350" s="7">
        <v>5373.0</v>
      </c>
      <c r="T350" s="7">
        <v>155.58</v>
      </c>
      <c r="U350" s="7">
        <v>1228.0</v>
      </c>
      <c r="V350" s="7">
        <v>0.13</v>
      </c>
      <c r="W350" s="7">
        <v>333.0</v>
      </c>
      <c r="X350" s="7">
        <v>34.21</v>
      </c>
      <c r="Y350" s="7">
        <v>2242.0</v>
      </c>
      <c r="Z350" s="7">
        <v>15.26</v>
      </c>
      <c r="AA350" s="7">
        <v>0.0</v>
      </c>
      <c r="AB350" s="7"/>
      <c r="AC350" s="7"/>
      <c r="AD350" s="7"/>
    </row>
    <row r="351" ht="15.75" customHeight="1">
      <c r="A351" s="6">
        <v>44911.0</v>
      </c>
      <c r="B351" s="7">
        <f t="shared" si="1"/>
        <v>16</v>
      </c>
      <c r="C351" s="7">
        <f t="shared" si="2"/>
        <v>12</v>
      </c>
      <c r="D351" s="7">
        <v>7567.52</v>
      </c>
      <c r="E351" s="7">
        <v>6655.0</v>
      </c>
      <c r="F351" s="7">
        <v>11793.0</v>
      </c>
      <c r="G351" s="7">
        <v>18448.0</v>
      </c>
      <c r="H351" s="7">
        <v>293.03</v>
      </c>
      <c r="I351" s="7">
        <v>2833.0</v>
      </c>
      <c r="J351" s="7">
        <v>0.103</v>
      </c>
      <c r="K351" s="7">
        <v>2282.0</v>
      </c>
      <c r="L351" s="7">
        <v>3765.28</v>
      </c>
      <c r="M351" s="7">
        <v>4540.0</v>
      </c>
      <c r="N351" s="7">
        <v>0.829</v>
      </c>
      <c r="O351" s="8">
        <v>3699.0</v>
      </c>
      <c r="P351" s="7">
        <v>3311.92</v>
      </c>
      <c r="Q351" s="7">
        <v>1749282.0</v>
      </c>
      <c r="R351" s="7">
        <v>1.89</v>
      </c>
      <c r="S351" s="7">
        <v>5681.0</v>
      </c>
      <c r="T351" s="7">
        <v>166.64</v>
      </c>
      <c r="U351" s="7">
        <v>1858.0</v>
      </c>
      <c r="V351" s="7">
        <v>0.09</v>
      </c>
      <c r="W351" s="7">
        <v>438.0</v>
      </c>
      <c r="X351" s="7">
        <v>30.65</v>
      </c>
      <c r="Y351" s="7">
        <v>2252.0</v>
      </c>
      <c r="Z351" s="7">
        <v>13.61</v>
      </c>
      <c r="AA351" s="7">
        <v>0.0</v>
      </c>
      <c r="AB351" s="7"/>
      <c r="AC351" s="7"/>
      <c r="AD351" s="7"/>
    </row>
    <row r="352" ht="15.75" customHeight="1">
      <c r="A352" s="6">
        <v>44912.0</v>
      </c>
      <c r="B352" s="7">
        <f t="shared" si="1"/>
        <v>17</v>
      </c>
      <c r="C352" s="7">
        <f t="shared" si="2"/>
        <v>12</v>
      </c>
      <c r="D352" s="7">
        <v>8310.09</v>
      </c>
      <c r="E352" s="7">
        <v>7304.0</v>
      </c>
      <c r="F352" s="7">
        <v>12293.0</v>
      </c>
      <c r="G352" s="7">
        <v>19597.0</v>
      </c>
      <c r="H352" s="7">
        <v>331.59</v>
      </c>
      <c r="I352" s="7">
        <v>2843.0</v>
      </c>
      <c r="J352" s="7">
        <v>0.117</v>
      </c>
      <c r="K352" s="7">
        <v>2040.0</v>
      </c>
      <c r="L352" s="7">
        <v>4208.32</v>
      </c>
      <c r="M352" s="7">
        <v>4918.0</v>
      </c>
      <c r="N352" s="7">
        <v>0.856</v>
      </c>
      <c r="O352" s="8">
        <v>3608.0</v>
      </c>
      <c r="P352" s="7">
        <v>3570.5</v>
      </c>
      <c r="Q352" s="7">
        <v>1849505.0</v>
      </c>
      <c r="R352" s="7">
        <v>1.93</v>
      </c>
      <c r="S352" s="7">
        <v>6110.0</v>
      </c>
      <c r="T352" s="7">
        <v>169.46</v>
      </c>
      <c r="U352" s="7">
        <v>2379.0</v>
      </c>
      <c r="V352" s="7">
        <v>0.07</v>
      </c>
      <c r="W352" s="7">
        <v>381.0</v>
      </c>
      <c r="X352" s="7">
        <v>30.22</v>
      </c>
      <c r="Y352" s="7">
        <v>2146.0</v>
      </c>
      <c r="Z352" s="7">
        <v>14.08</v>
      </c>
      <c r="AA352" s="7">
        <v>0.0</v>
      </c>
      <c r="AB352" s="7"/>
      <c r="AC352" s="7"/>
      <c r="AD352" s="7"/>
    </row>
    <row r="353" ht="15.75" customHeight="1">
      <c r="A353" s="6">
        <v>44913.0</v>
      </c>
      <c r="B353" s="7">
        <f t="shared" si="1"/>
        <v>18</v>
      </c>
      <c r="C353" s="7">
        <f t="shared" si="2"/>
        <v>12</v>
      </c>
      <c r="D353" s="7">
        <v>8943.72</v>
      </c>
      <c r="E353" s="7">
        <v>6463.0</v>
      </c>
      <c r="F353" s="7">
        <v>14665.0</v>
      </c>
      <c r="G353" s="7">
        <v>21128.0</v>
      </c>
      <c r="H353" s="7">
        <v>331.7</v>
      </c>
      <c r="I353" s="7">
        <v>3339.0</v>
      </c>
      <c r="J353" s="7">
        <v>0.099</v>
      </c>
      <c r="K353" s="7">
        <v>2538.0</v>
      </c>
      <c r="L353" s="7">
        <v>4605.28</v>
      </c>
      <c r="M353" s="7">
        <v>5584.0</v>
      </c>
      <c r="N353" s="7">
        <v>0.825</v>
      </c>
      <c r="O353" s="8">
        <v>4445.0</v>
      </c>
      <c r="P353" s="7">
        <v>3829.03</v>
      </c>
      <c r="Q353" s="7">
        <v>2175487.0</v>
      </c>
      <c r="R353" s="7">
        <v>1.76</v>
      </c>
      <c r="S353" s="7">
        <v>7226.0</v>
      </c>
      <c r="T353" s="7">
        <v>145.73</v>
      </c>
      <c r="U353" s="7">
        <v>2143.0</v>
      </c>
      <c r="V353" s="7">
        <v>0.07</v>
      </c>
      <c r="W353" s="7">
        <v>379.0</v>
      </c>
      <c r="X353" s="7">
        <v>31.98</v>
      </c>
      <c r="Y353" s="7">
        <v>2091.0</v>
      </c>
      <c r="Z353" s="7">
        <v>15.29</v>
      </c>
      <c r="AA353" s="7">
        <v>0.0</v>
      </c>
      <c r="AB353" s="7"/>
      <c r="AC353" s="7"/>
      <c r="AD353" s="7"/>
    </row>
    <row r="354" ht="15.75" customHeight="1">
      <c r="A354" s="6">
        <v>44914.0</v>
      </c>
      <c r="B354" s="7">
        <f t="shared" si="1"/>
        <v>19</v>
      </c>
      <c r="C354" s="7">
        <f t="shared" si="2"/>
        <v>12</v>
      </c>
      <c r="D354" s="7">
        <v>8417.07</v>
      </c>
      <c r="E354" s="7">
        <v>6889.0</v>
      </c>
      <c r="F354" s="7">
        <v>13207.0</v>
      </c>
      <c r="G354" s="7">
        <v>20096.0</v>
      </c>
      <c r="H354" s="7">
        <v>331.69</v>
      </c>
      <c r="I354" s="7">
        <v>3211.0</v>
      </c>
      <c r="J354" s="7">
        <v>0.103</v>
      </c>
      <c r="K354" s="7">
        <v>2460.0</v>
      </c>
      <c r="L354" s="7">
        <v>4149.96</v>
      </c>
      <c r="M354" s="7">
        <v>4754.0</v>
      </c>
      <c r="N354" s="7">
        <v>0.873</v>
      </c>
      <c r="O354" s="8">
        <v>3802.0</v>
      </c>
      <c r="P354" s="7">
        <v>3687.95</v>
      </c>
      <c r="Q354" s="7">
        <v>2243971.0</v>
      </c>
      <c r="R354" s="7">
        <v>1.64</v>
      </c>
      <c r="S354" s="7">
        <v>6520.0</v>
      </c>
      <c r="T354" s="7">
        <v>220.12</v>
      </c>
      <c r="U354" s="7">
        <v>2428.0</v>
      </c>
      <c r="V354" s="7">
        <v>0.09</v>
      </c>
      <c r="W354" s="7">
        <v>511.0</v>
      </c>
      <c r="X354" s="7">
        <v>27.35</v>
      </c>
      <c r="Y354" s="7">
        <v>1879.0</v>
      </c>
      <c r="Z354" s="7">
        <v>14.56</v>
      </c>
      <c r="AA354" s="7">
        <v>0.0</v>
      </c>
      <c r="AB354" s="7"/>
      <c r="AC354" s="7"/>
      <c r="AD354" s="7"/>
    </row>
    <row r="355" ht="15.75" customHeight="1">
      <c r="A355" s="6">
        <v>44915.0</v>
      </c>
      <c r="B355" s="7">
        <f t="shared" si="1"/>
        <v>20</v>
      </c>
      <c r="C355" s="7">
        <f t="shared" si="2"/>
        <v>12</v>
      </c>
      <c r="D355" s="7">
        <v>7799.1</v>
      </c>
      <c r="E355" s="7">
        <v>6836.0</v>
      </c>
      <c r="F355" s="7">
        <v>12349.0</v>
      </c>
      <c r="G355" s="7">
        <v>19185.0</v>
      </c>
      <c r="H355" s="7">
        <v>311.5</v>
      </c>
      <c r="I355" s="7">
        <v>3048.0</v>
      </c>
      <c r="J355" s="7">
        <v>0.102</v>
      </c>
      <c r="K355" s="7">
        <v>2363.0</v>
      </c>
      <c r="L355" s="7">
        <v>3652.93</v>
      </c>
      <c r="M355" s="7">
        <v>3976.0</v>
      </c>
      <c r="N355" s="7">
        <v>0.919</v>
      </c>
      <c r="O355" s="8">
        <v>3145.0</v>
      </c>
      <c r="P355" s="7">
        <v>3634.5</v>
      </c>
      <c r="Q355" s="7">
        <v>2115917.0</v>
      </c>
      <c r="R355" s="7">
        <v>1.72</v>
      </c>
      <c r="S355" s="7">
        <v>6268.0</v>
      </c>
      <c r="T355" s="7">
        <v>174.74</v>
      </c>
      <c r="U355" s="7">
        <v>1310.0</v>
      </c>
      <c r="V355" s="7">
        <v>0.13</v>
      </c>
      <c r="W355" s="7">
        <v>457.0</v>
      </c>
      <c r="X355" s="7">
        <v>25.43</v>
      </c>
      <c r="Y355" s="7">
        <v>2587.0</v>
      </c>
      <c r="Z355" s="7">
        <v>9.83</v>
      </c>
      <c r="AA355" s="7">
        <v>0.0</v>
      </c>
      <c r="AB355" s="7"/>
      <c r="AC355" s="7"/>
      <c r="AD355" s="7"/>
    </row>
    <row r="356" ht="15.75" customHeight="1">
      <c r="A356" s="6">
        <v>44916.0</v>
      </c>
      <c r="B356" s="7">
        <f t="shared" si="1"/>
        <v>21</v>
      </c>
      <c r="C356" s="7">
        <f t="shared" si="2"/>
        <v>12</v>
      </c>
      <c r="D356" s="7">
        <v>7486.36</v>
      </c>
      <c r="E356" s="7">
        <v>6604.0</v>
      </c>
      <c r="F356" s="7">
        <v>12426.0</v>
      </c>
      <c r="G356" s="7">
        <v>19030.0</v>
      </c>
      <c r="H356" s="7">
        <v>357.55</v>
      </c>
      <c r="I356" s="7">
        <v>2973.0</v>
      </c>
      <c r="J356" s="7">
        <v>0.12</v>
      </c>
      <c r="K356" s="7">
        <v>2421.0</v>
      </c>
      <c r="L356" s="7">
        <v>3198.87</v>
      </c>
      <c r="M356" s="7">
        <v>3431.0</v>
      </c>
      <c r="N356" s="7">
        <v>0.932</v>
      </c>
      <c r="O356" s="8">
        <v>2796.0</v>
      </c>
      <c r="P356" s="7">
        <v>3707.86</v>
      </c>
      <c r="Q356" s="7">
        <v>2164438.0</v>
      </c>
      <c r="R356" s="7">
        <v>1.71</v>
      </c>
      <c r="S356" s="7">
        <v>6627.0</v>
      </c>
      <c r="T356" s="7">
        <v>198.34</v>
      </c>
      <c r="U356" s="7">
        <v>1853.0</v>
      </c>
      <c r="V356" s="7">
        <v>0.11</v>
      </c>
      <c r="W356" s="7">
        <v>561.0</v>
      </c>
      <c r="X356" s="7">
        <v>23.74</v>
      </c>
      <c r="Y356" s="7">
        <v>2848.0</v>
      </c>
      <c r="Z356" s="7">
        <v>8.34</v>
      </c>
      <c r="AA356" s="7">
        <v>0.0</v>
      </c>
      <c r="AB356" s="7"/>
      <c r="AC356" s="7"/>
      <c r="AD356" s="7"/>
    </row>
    <row r="357" ht="15.75" customHeight="1">
      <c r="A357" s="6">
        <v>44917.0</v>
      </c>
      <c r="B357" s="7">
        <f t="shared" si="1"/>
        <v>22</v>
      </c>
      <c r="C357" s="7">
        <f t="shared" si="2"/>
        <v>12</v>
      </c>
      <c r="D357" s="7">
        <v>7591.88</v>
      </c>
      <c r="E357" s="7">
        <v>7712.0</v>
      </c>
      <c r="F357" s="7">
        <v>11025.0</v>
      </c>
      <c r="G357" s="7">
        <v>18737.0</v>
      </c>
      <c r="H357" s="7">
        <v>364.53</v>
      </c>
      <c r="I357" s="7">
        <v>2834.0</v>
      </c>
      <c r="J357" s="7">
        <v>0.129</v>
      </c>
      <c r="K357" s="7">
        <v>2034.0</v>
      </c>
      <c r="L357" s="7">
        <v>3234.12</v>
      </c>
      <c r="M357" s="7">
        <v>3658.0</v>
      </c>
      <c r="N357" s="7">
        <v>0.884</v>
      </c>
      <c r="O357" s="8">
        <v>2705.0</v>
      </c>
      <c r="P357" s="7">
        <v>3808.27</v>
      </c>
      <c r="Q357" s="7">
        <v>2311112.0</v>
      </c>
      <c r="R357" s="7">
        <v>1.65</v>
      </c>
      <c r="S357" s="7">
        <v>5847.0</v>
      </c>
      <c r="T357" s="7">
        <v>158.32</v>
      </c>
      <c r="U357" s="7">
        <v>1303.0</v>
      </c>
      <c r="V357" s="7">
        <v>0.12</v>
      </c>
      <c r="W357" s="7">
        <v>356.0</v>
      </c>
      <c r="X357" s="7">
        <v>26.64</v>
      </c>
      <c r="Y357" s="7">
        <v>3049.0</v>
      </c>
      <c r="Z357" s="7">
        <v>8.74</v>
      </c>
      <c r="AA357" s="7">
        <v>0.0</v>
      </c>
      <c r="AB357" s="7"/>
      <c r="AC357" s="7"/>
      <c r="AD357" s="7"/>
    </row>
    <row r="358" ht="15.75" customHeight="1">
      <c r="A358" s="6">
        <v>44918.0</v>
      </c>
      <c r="B358" s="7">
        <f t="shared" si="1"/>
        <v>23</v>
      </c>
      <c r="C358" s="7">
        <f t="shared" si="2"/>
        <v>12</v>
      </c>
      <c r="D358" s="7">
        <v>8739.54</v>
      </c>
      <c r="E358" s="7">
        <v>6214.0</v>
      </c>
      <c r="F358" s="7">
        <v>13340.0</v>
      </c>
      <c r="G358" s="7">
        <v>19554.0</v>
      </c>
      <c r="H358" s="7">
        <v>293.44</v>
      </c>
      <c r="I358" s="7">
        <v>2919.0</v>
      </c>
      <c r="J358" s="7">
        <v>0.101</v>
      </c>
      <c r="K358" s="7">
        <v>2246.0</v>
      </c>
      <c r="L358" s="7">
        <v>3576.32</v>
      </c>
      <c r="M358" s="7">
        <v>3800.0</v>
      </c>
      <c r="N358" s="7">
        <v>0.941</v>
      </c>
      <c r="O358" s="8">
        <v>3097.0</v>
      </c>
      <c r="P358" s="7">
        <v>4579.55</v>
      </c>
      <c r="Q358" s="7">
        <v>2772867.0</v>
      </c>
      <c r="R358" s="7">
        <v>1.65</v>
      </c>
      <c r="S358" s="7">
        <v>7599.0</v>
      </c>
      <c r="T358" s="7">
        <v>246.35</v>
      </c>
      <c r="U358" s="7">
        <v>2001.0</v>
      </c>
      <c r="V358" s="7">
        <v>0.12</v>
      </c>
      <c r="W358" s="7">
        <v>566.0</v>
      </c>
      <c r="X358" s="7">
        <v>43.88</v>
      </c>
      <c r="Y358" s="7">
        <v>5585.0</v>
      </c>
      <c r="Z358" s="7">
        <v>7.86</v>
      </c>
      <c r="AA358" s="7">
        <v>0.0</v>
      </c>
      <c r="AB358" s="7"/>
      <c r="AC358" s="7"/>
      <c r="AD358" s="7"/>
    </row>
    <row r="359" ht="15.75" customHeight="1">
      <c r="A359" s="6">
        <v>44919.0</v>
      </c>
      <c r="B359" s="7">
        <f t="shared" si="1"/>
        <v>24</v>
      </c>
      <c r="C359" s="7">
        <f t="shared" si="2"/>
        <v>12</v>
      </c>
      <c r="D359" s="7">
        <v>9331.3</v>
      </c>
      <c r="E359" s="7">
        <v>5363.0</v>
      </c>
      <c r="F359" s="7">
        <v>13369.0</v>
      </c>
      <c r="G359" s="7">
        <v>18732.0</v>
      </c>
      <c r="H359" s="7">
        <v>270.63</v>
      </c>
      <c r="I359" s="7">
        <v>2677.0</v>
      </c>
      <c r="J359" s="7">
        <v>0.101</v>
      </c>
      <c r="K359" s="7">
        <v>2050.0</v>
      </c>
      <c r="L359" s="7">
        <v>4086.1</v>
      </c>
      <c r="M359" s="7">
        <v>4110.0</v>
      </c>
      <c r="N359" s="7">
        <v>0.994</v>
      </c>
      <c r="O359" s="8">
        <v>3277.0</v>
      </c>
      <c r="P359" s="7">
        <v>4719.0</v>
      </c>
      <c r="Q359" s="7">
        <v>3057679.0</v>
      </c>
      <c r="R359" s="7">
        <v>1.54</v>
      </c>
      <c r="S359" s="7">
        <v>7421.0</v>
      </c>
      <c r="T359" s="7">
        <v>217.38</v>
      </c>
      <c r="U359" s="7">
        <v>1648.0</v>
      </c>
      <c r="V359" s="7">
        <v>0.13</v>
      </c>
      <c r="W359" s="7">
        <v>457.0</v>
      </c>
      <c r="X359" s="7">
        <v>38.19</v>
      </c>
      <c r="Y359" s="7">
        <v>5448.0</v>
      </c>
      <c r="Z359" s="7">
        <v>7.01</v>
      </c>
      <c r="AA359" s="7">
        <v>0.0</v>
      </c>
      <c r="AB359" s="7"/>
      <c r="AC359" s="7"/>
      <c r="AD359" s="7"/>
    </row>
    <row r="360" ht="15.75" customHeight="1">
      <c r="A360" s="6">
        <v>44920.0</v>
      </c>
      <c r="B360" s="7">
        <f t="shared" si="1"/>
        <v>25</v>
      </c>
      <c r="C360" s="7">
        <f t="shared" si="2"/>
        <v>12</v>
      </c>
      <c r="D360" s="7">
        <v>10154.59</v>
      </c>
      <c r="E360" s="7">
        <v>5724.0</v>
      </c>
      <c r="F360" s="7">
        <v>16149.0</v>
      </c>
      <c r="G360" s="7">
        <v>21873.0</v>
      </c>
      <c r="H360" s="7">
        <v>332.01</v>
      </c>
      <c r="I360" s="7">
        <v>3153.0</v>
      </c>
      <c r="J360" s="7">
        <v>0.105</v>
      </c>
      <c r="K360" s="7">
        <v>2423.0</v>
      </c>
      <c r="L360" s="7">
        <v>4544.59</v>
      </c>
      <c r="M360" s="7">
        <v>4707.0</v>
      </c>
      <c r="N360" s="7">
        <v>0.965</v>
      </c>
      <c r="O360" s="8">
        <v>3608.0</v>
      </c>
      <c r="P360" s="7">
        <v>5033.38</v>
      </c>
      <c r="Q360" s="7">
        <v>4267752.0</v>
      </c>
      <c r="R360" s="7">
        <v>1.18</v>
      </c>
      <c r="S360" s="7">
        <v>9459.0</v>
      </c>
      <c r="T360" s="7">
        <v>205.42</v>
      </c>
      <c r="U360" s="7">
        <v>1429.0</v>
      </c>
      <c r="V360" s="7">
        <v>0.14</v>
      </c>
      <c r="W360" s="7">
        <v>473.0</v>
      </c>
      <c r="X360" s="7">
        <v>39.19</v>
      </c>
      <c r="Y360" s="7">
        <v>6589.0</v>
      </c>
      <c r="Z360" s="7">
        <v>5.95</v>
      </c>
      <c r="AA360" s="7">
        <v>0.0</v>
      </c>
      <c r="AB360" s="7"/>
      <c r="AC360" s="7"/>
      <c r="AD360" s="7"/>
    </row>
    <row r="361" ht="15.75" customHeight="1">
      <c r="A361" s="6">
        <v>44921.0</v>
      </c>
      <c r="B361" s="7">
        <f t="shared" si="1"/>
        <v>26</v>
      </c>
      <c r="C361" s="7">
        <f t="shared" si="2"/>
        <v>12</v>
      </c>
      <c r="D361" s="7">
        <v>9727.98</v>
      </c>
      <c r="E361" s="7">
        <v>8383.0</v>
      </c>
      <c r="F361" s="7">
        <v>20227.0</v>
      </c>
      <c r="G361" s="7">
        <v>28610.0</v>
      </c>
      <c r="H361" s="7">
        <v>405.42</v>
      </c>
      <c r="I361" s="7">
        <v>4618.0</v>
      </c>
      <c r="J361" s="7">
        <v>0.088</v>
      </c>
      <c r="K361" s="7">
        <v>3414.0</v>
      </c>
      <c r="L361" s="7">
        <v>4404.3</v>
      </c>
      <c r="M361" s="7">
        <v>5712.0</v>
      </c>
      <c r="N361" s="7">
        <v>0.771</v>
      </c>
      <c r="O361" s="8">
        <v>4555.0</v>
      </c>
      <c r="P361" s="7">
        <v>4629.19</v>
      </c>
      <c r="Q361" s="7">
        <v>4292306.0</v>
      </c>
      <c r="R361" s="7">
        <v>1.08</v>
      </c>
      <c r="S361" s="7">
        <v>11869.0</v>
      </c>
      <c r="T361" s="7">
        <v>249.77</v>
      </c>
      <c r="U361" s="7">
        <v>1901.0</v>
      </c>
      <c r="V361" s="7">
        <v>0.13</v>
      </c>
      <c r="W361" s="7">
        <v>616.0</v>
      </c>
      <c r="X361" s="7">
        <v>39.3</v>
      </c>
      <c r="Y361" s="7">
        <v>7304.0</v>
      </c>
      <c r="Z361" s="7">
        <v>5.38</v>
      </c>
      <c r="AA361" s="7">
        <v>0.0</v>
      </c>
      <c r="AB361" s="7"/>
      <c r="AC361" s="7"/>
      <c r="AD361" s="7"/>
    </row>
    <row r="362" ht="15.75" customHeight="1">
      <c r="A362" s="6">
        <v>44922.0</v>
      </c>
      <c r="B362" s="7">
        <f t="shared" si="1"/>
        <v>27</v>
      </c>
      <c r="C362" s="7">
        <f t="shared" si="2"/>
        <v>12</v>
      </c>
      <c r="D362" s="7">
        <v>8573.87</v>
      </c>
      <c r="E362" s="7">
        <v>9278.0</v>
      </c>
      <c r="F362" s="7">
        <v>18676.0</v>
      </c>
      <c r="G362" s="7">
        <v>27954.0</v>
      </c>
      <c r="H362" s="7">
        <v>518.42</v>
      </c>
      <c r="I362" s="7">
        <v>4875.0</v>
      </c>
      <c r="J362" s="7">
        <v>0.106</v>
      </c>
      <c r="K362" s="7">
        <v>3827.0</v>
      </c>
      <c r="L362" s="7">
        <v>3729.49</v>
      </c>
      <c r="M362" s="7">
        <v>4873.0</v>
      </c>
      <c r="N362" s="7">
        <v>0.765</v>
      </c>
      <c r="O362" s="8">
        <v>4081.0</v>
      </c>
      <c r="P362" s="7">
        <v>4042.88</v>
      </c>
      <c r="Q362" s="7">
        <v>3749238.0</v>
      </c>
      <c r="R362" s="7">
        <v>1.08</v>
      </c>
      <c r="S362" s="7">
        <v>9770.0</v>
      </c>
      <c r="T362" s="7">
        <v>247.75</v>
      </c>
      <c r="U362" s="7">
        <v>1747.0</v>
      </c>
      <c r="V362" s="7">
        <v>0.14</v>
      </c>
      <c r="W362" s="7">
        <v>630.0</v>
      </c>
      <c r="X362" s="7">
        <v>35.33</v>
      </c>
      <c r="Y362" s="7">
        <v>6278.0</v>
      </c>
      <c r="Z362" s="7">
        <v>5.63</v>
      </c>
      <c r="AA362" s="7">
        <v>0.0</v>
      </c>
      <c r="AB362" s="7"/>
      <c r="AC362" s="7"/>
      <c r="AD362" s="7"/>
    </row>
    <row r="363" ht="15.75" customHeight="1">
      <c r="A363" s="6">
        <v>44923.0</v>
      </c>
      <c r="B363" s="7">
        <f t="shared" si="1"/>
        <v>28</v>
      </c>
      <c r="C363" s="7">
        <f t="shared" si="2"/>
        <v>12</v>
      </c>
      <c r="D363" s="7">
        <v>8182.8</v>
      </c>
      <c r="E363" s="7">
        <v>10666.0</v>
      </c>
      <c r="F363" s="7">
        <v>17617.0</v>
      </c>
      <c r="G363" s="7">
        <v>28283.0</v>
      </c>
      <c r="H363" s="7">
        <v>465.5</v>
      </c>
      <c r="I363" s="7">
        <v>5003.0</v>
      </c>
      <c r="J363" s="7">
        <v>0.093</v>
      </c>
      <c r="K363" s="7">
        <v>3669.0</v>
      </c>
      <c r="L363" s="7">
        <v>3579.61</v>
      </c>
      <c r="M363" s="7">
        <v>5021.0</v>
      </c>
      <c r="N363" s="7">
        <v>0.713</v>
      </c>
      <c r="O363" s="8">
        <v>4062.0</v>
      </c>
      <c r="P363" s="7">
        <v>3851.37</v>
      </c>
      <c r="Q363" s="7">
        <v>3659585.0</v>
      </c>
      <c r="R363" s="7">
        <v>1.05</v>
      </c>
      <c r="S363" s="7">
        <v>9357.0</v>
      </c>
      <c r="T363" s="7">
        <v>244.38</v>
      </c>
      <c r="U363" s="7">
        <v>1814.0</v>
      </c>
      <c r="V363" s="7">
        <v>0.13</v>
      </c>
      <c r="W363" s="7">
        <v>607.0</v>
      </c>
      <c r="X363" s="7">
        <v>41.94</v>
      </c>
      <c r="Y363" s="7">
        <v>11315.0</v>
      </c>
      <c r="Z363" s="7">
        <v>3.71</v>
      </c>
      <c r="AA363" s="7">
        <v>0.0</v>
      </c>
      <c r="AB363" s="7"/>
      <c r="AC363" s="7"/>
      <c r="AD363" s="7"/>
    </row>
    <row r="364" ht="15.75" customHeight="1">
      <c r="A364" s="6">
        <v>44924.0</v>
      </c>
      <c r="B364" s="7">
        <f t="shared" si="1"/>
        <v>29</v>
      </c>
      <c r="C364" s="7">
        <f t="shared" si="2"/>
        <v>12</v>
      </c>
      <c r="D364" s="7">
        <v>8035.48</v>
      </c>
      <c r="E364" s="7">
        <v>10867.0</v>
      </c>
      <c r="F364" s="7">
        <v>15740.0</v>
      </c>
      <c r="G364" s="7">
        <v>26607.0</v>
      </c>
      <c r="H364" s="7">
        <v>533.37</v>
      </c>
      <c r="I364" s="7">
        <v>4668.0</v>
      </c>
      <c r="J364" s="7">
        <v>0.114</v>
      </c>
      <c r="K364" s="7">
        <v>3321.0</v>
      </c>
      <c r="L364" s="7">
        <v>3434.1</v>
      </c>
      <c r="M364" s="7">
        <v>4906.0</v>
      </c>
      <c r="N364" s="7">
        <v>0.7</v>
      </c>
      <c r="O364" s="8">
        <v>3811.0</v>
      </c>
      <c r="P364" s="7">
        <v>3848.76</v>
      </c>
      <c r="Q364" s="7">
        <v>3576930.0</v>
      </c>
      <c r="R364" s="7">
        <v>1.08</v>
      </c>
      <c r="S364" s="7">
        <v>8526.0</v>
      </c>
      <c r="T364" s="7">
        <v>181.93</v>
      </c>
      <c r="U364" s="7">
        <v>1473.0</v>
      </c>
      <c r="V364" s="7">
        <v>0.12</v>
      </c>
      <c r="W364" s="7">
        <v>496.0</v>
      </c>
      <c r="X364" s="7">
        <v>37.32</v>
      </c>
      <c r="Y364" s="7">
        <v>10185.0</v>
      </c>
      <c r="Z364" s="7">
        <v>3.66</v>
      </c>
      <c r="AA364" s="7">
        <v>0.0</v>
      </c>
      <c r="AB364" s="7"/>
      <c r="AC364" s="7"/>
      <c r="AD364" s="7"/>
    </row>
    <row r="365" ht="15.75" customHeight="1">
      <c r="A365" s="6">
        <v>44925.0</v>
      </c>
      <c r="B365" s="7">
        <f t="shared" si="1"/>
        <v>30</v>
      </c>
      <c r="C365" s="7">
        <f t="shared" si="2"/>
        <v>12</v>
      </c>
      <c r="D365" s="7">
        <v>8062.98</v>
      </c>
      <c r="E365" s="7">
        <v>8691.0</v>
      </c>
      <c r="F365" s="7">
        <v>18745.0</v>
      </c>
      <c r="G365" s="7">
        <v>27436.0</v>
      </c>
      <c r="H365" s="7">
        <v>450.27</v>
      </c>
      <c r="I365" s="7">
        <v>4250.0</v>
      </c>
      <c r="J365" s="7">
        <v>0.106</v>
      </c>
      <c r="K365" s="7">
        <v>3378.0</v>
      </c>
      <c r="L365" s="7">
        <v>3354.02</v>
      </c>
      <c r="M365" s="7">
        <v>4593.0</v>
      </c>
      <c r="N365" s="7">
        <v>0.73</v>
      </c>
      <c r="O365" s="8">
        <v>3805.0</v>
      </c>
      <c r="P365" s="7">
        <v>4057.0</v>
      </c>
      <c r="Q365" s="7">
        <v>3786670.0</v>
      </c>
      <c r="R365" s="7">
        <v>1.07</v>
      </c>
      <c r="S365" s="7">
        <v>11062.0</v>
      </c>
      <c r="T365" s="7">
        <v>176.57</v>
      </c>
      <c r="U365" s="7">
        <v>1649.0</v>
      </c>
      <c r="V365" s="7">
        <v>0.11</v>
      </c>
      <c r="W365" s="7">
        <v>457.0</v>
      </c>
      <c r="X365" s="7">
        <v>25.12</v>
      </c>
      <c r="Y365" s="7">
        <v>5205.0</v>
      </c>
      <c r="Z365" s="7">
        <v>4.83</v>
      </c>
      <c r="AA365" s="7">
        <v>0.0</v>
      </c>
      <c r="AB365" s="7"/>
      <c r="AC365" s="7"/>
      <c r="AD365" s="7"/>
    </row>
    <row r="366" ht="15.75" customHeight="1">
      <c r="A366" s="6">
        <v>44926.0</v>
      </c>
      <c r="B366" s="7">
        <f t="shared" si="1"/>
        <v>31</v>
      </c>
      <c r="C366" s="7">
        <f t="shared" si="2"/>
        <v>12</v>
      </c>
      <c r="D366" s="7">
        <v>7427.12</v>
      </c>
      <c r="E366" s="7">
        <v>6394.0</v>
      </c>
      <c r="F366" s="7">
        <v>17358.0</v>
      </c>
      <c r="G366" s="7">
        <v>23752.0</v>
      </c>
      <c r="H366" s="7">
        <v>332.91</v>
      </c>
      <c r="I366" s="7">
        <v>3341.0</v>
      </c>
      <c r="J366" s="7">
        <v>0.1</v>
      </c>
      <c r="K366" s="7">
        <v>2595.0</v>
      </c>
      <c r="L366" s="7">
        <v>2642.62</v>
      </c>
      <c r="M366" s="7">
        <v>3719.0</v>
      </c>
      <c r="N366" s="7">
        <v>0.711</v>
      </c>
      <c r="O366" s="8">
        <v>3008.0</v>
      </c>
      <c r="P366" s="7">
        <v>4230.19</v>
      </c>
      <c r="Q366" s="7">
        <v>4332308.0</v>
      </c>
      <c r="R366" s="7">
        <v>0.98</v>
      </c>
      <c r="S366" s="7">
        <v>11467.0</v>
      </c>
      <c r="T366" s="7">
        <v>221.4</v>
      </c>
      <c r="U366" s="7">
        <v>2047.0</v>
      </c>
      <c r="V366" s="7">
        <v>0.11</v>
      </c>
      <c r="W366" s="7">
        <v>604.0</v>
      </c>
      <c r="X366" s="7">
        <v>0.0</v>
      </c>
      <c r="Y366" s="7">
        <v>0.0</v>
      </c>
      <c r="Z366" s="7">
        <v>0.0</v>
      </c>
      <c r="AA366" s="7">
        <v>0.0</v>
      </c>
      <c r="AB366" s="7"/>
      <c r="AC366" s="7"/>
      <c r="AD366" s="7"/>
    </row>
    <row r="367" ht="15.75" customHeight="1">
      <c r="A367" s="6">
        <v>44927.0</v>
      </c>
      <c r="B367" s="7">
        <f t="shared" si="1"/>
        <v>1</v>
      </c>
      <c r="C367" s="7">
        <f t="shared" si="2"/>
        <v>1</v>
      </c>
      <c r="D367" s="7">
        <v>8582.92</v>
      </c>
      <c r="E367" s="7">
        <v>8044.0</v>
      </c>
      <c r="F367" s="7">
        <v>24128.0</v>
      </c>
      <c r="G367" s="7">
        <v>32172.0</v>
      </c>
      <c r="H367" s="7">
        <v>449.03</v>
      </c>
      <c r="I367" s="7">
        <v>4670.0</v>
      </c>
      <c r="J367" s="7">
        <v>0.096</v>
      </c>
      <c r="K367" s="7">
        <v>3503.0</v>
      </c>
      <c r="L367" s="7">
        <v>3647.97</v>
      </c>
      <c r="M367" s="7">
        <v>5178.0</v>
      </c>
      <c r="N367" s="7">
        <v>0.705</v>
      </c>
      <c r="O367" s="8">
        <v>4181.0</v>
      </c>
      <c r="P367" s="7">
        <v>4292.91</v>
      </c>
      <c r="Q367" s="7">
        <v>6848026.0</v>
      </c>
      <c r="R367" s="7">
        <v>0.63</v>
      </c>
      <c r="S367" s="7">
        <v>15792.0</v>
      </c>
      <c r="T367" s="7">
        <v>193.01</v>
      </c>
      <c r="U367" s="7">
        <v>1956.0</v>
      </c>
      <c r="V367" s="7">
        <v>0.1</v>
      </c>
      <c r="W367" s="7">
        <v>859.0</v>
      </c>
      <c r="X367" s="7">
        <v>0.0</v>
      </c>
      <c r="Y367" s="7">
        <v>0.0</v>
      </c>
      <c r="Z367" s="7">
        <v>0.0</v>
      </c>
      <c r="AA367" s="7">
        <v>0.0</v>
      </c>
      <c r="AB367" s="7"/>
      <c r="AC367" s="7"/>
      <c r="AD367" s="7"/>
    </row>
    <row r="368" ht="15.75" customHeight="1">
      <c r="A368" s="6">
        <v>44928.0</v>
      </c>
      <c r="B368" s="7">
        <f t="shared" si="1"/>
        <v>2</v>
      </c>
      <c r="C368" s="7">
        <f t="shared" si="2"/>
        <v>1</v>
      </c>
      <c r="D368" s="7">
        <v>8817.96</v>
      </c>
      <c r="E368" s="7">
        <v>15914.0</v>
      </c>
      <c r="F368" s="7">
        <v>24610.0</v>
      </c>
      <c r="G368" s="7">
        <v>40524.0</v>
      </c>
      <c r="H368" s="7">
        <v>457.25</v>
      </c>
      <c r="I368" s="7">
        <v>6387.0</v>
      </c>
      <c r="J368" s="7">
        <v>0.072</v>
      </c>
      <c r="K368" s="7">
        <v>4267.0</v>
      </c>
      <c r="L368" s="7">
        <v>3955.82</v>
      </c>
      <c r="M368" s="7">
        <v>5926.0</v>
      </c>
      <c r="N368" s="7">
        <v>0.668</v>
      </c>
      <c r="O368" s="8">
        <v>4757.0</v>
      </c>
      <c r="P368" s="7">
        <v>4166.08</v>
      </c>
      <c r="Q368" s="7">
        <v>5546061.0</v>
      </c>
      <c r="R368" s="7">
        <v>0.75</v>
      </c>
      <c r="S368" s="7">
        <v>14263.0</v>
      </c>
      <c r="T368" s="7">
        <v>238.81</v>
      </c>
      <c r="U368" s="7">
        <v>2212.0</v>
      </c>
      <c r="V368" s="7">
        <v>0.11</v>
      </c>
      <c r="W368" s="7">
        <v>903.0</v>
      </c>
      <c r="X368" s="7">
        <v>0.0</v>
      </c>
      <c r="Y368" s="7">
        <v>0.0</v>
      </c>
      <c r="Z368" s="7">
        <v>0.0</v>
      </c>
      <c r="AA368" s="7">
        <v>0.0</v>
      </c>
      <c r="AB368" s="7"/>
      <c r="AC368" s="7"/>
      <c r="AD368" s="7"/>
    </row>
    <row r="369" ht="15.75" customHeight="1">
      <c r="A369" s="6">
        <v>44929.0</v>
      </c>
      <c r="B369" s="7">
        <f t="shared" si="1"/>
        <v>3</v>
      </c>
      <c r="C369" s="7">
        <f t="shared" si="2"/>
        <v>1</v>
      </c>
      <c r="D369" s="7">
        <v>9472.84</v>
      </c>
      <c r="E369" s="7">
        <v>12939.0</v>
      </c>
      <c r="F369" s="7">
        <v>26075.0</v>
      </c>
      <c r="G369" s="7">
        <v>39014.0</v>
      </c>
      <c r="H369" s="7">
        <v>546.74</v>
      </c>
      <c r="I369" s="7">
        <v>6593.0</v>
      </c>
      <c r="J369" s="7">
        <v>0.083</v>
      </c>
      <c r="K369" s="7">
        <v>5226.0</v>
      </c>
      <c r="L369" s="7">
        <v>4141.38</v>
      </c>
      <c r="M369" s="7">
        <v>6323.0</v>
      </c>
      <c r="N369" s="7">
        <v>0.655</v>
      </c>
      <c r="O369" s="8">
        <v>5403.0</v>
      </c>
      <c r="P369" s="7">
        <v>4492.88</v>
      </c>
      <c r="Q369" s="7">
        <v>5422865.0</v>
      </c>
      <c r="R369" s="7">
        <v>0.83</v>
      </c>
      <c r="S369" s="7">
        <v>14924.0</v>
      </c>
      <c r="T369" s="7">
        <v>244.94</v>
      </c>
      <c r="U369" s="7">
        <v>2211.0</v>
      </c>
      <c r="V369" s="7">
        <v>0.11</v>
      </c>
      <c r="W369" s="7">
        <v>969.0</v>
      </c>
      <c r="X369" s="7">
        <v>46.9</v>
      </c>
      <c r="Y369" s="7">
        <v>12841.0</v>
      </c>
      <c r="Z369" s="7">
        <v>3.65</v>
      </c>
      <c r="AA369" s="7">
        <v>0.0</v>
      </c>
      <c r="AB369" s="7"/>
      <c r="AC369" s="7"/>
      <c r="AD369" s="7"/>
    </row>
    <row r="370" ht="15.75" customHeight="1">
      <c r="A370" s="6">
        <v>44930.0</v>
      </c>
      <c r="B370" s="7">
        <f t="shared" si="1"/>
        <v>4</v>
      </c>
      <c r="C370" s="7">
        <f t="shared" si="2"/>
        <v>1</v>
      </c>
      <c r="D370" s="7">
        <v>9485.65</v>
      </c>
      <c r="E370" s="7">
        <v>12914.0</v>
      </c>
      <c r="F370" s="7">
        <v>25052.0</v>
      </c>
      <c r="G370" s="7">
        <v>37966.0</v>
      </c>
      <c r="H370" s="7">
        <v>545.0</v>
      </c>
      <c r="I370" s="7">
        <v>5876.0</v>
      </c>
      <c r="J370" s="7">
        <v>0.093</v>
      </c>
      <c r="K370" s="7">
        <v>4660.0</v>
      </c>
      <c r="L370" s="7">
        <v>4096.66</v>
      </c>
      <c r="M370" s="7">
        <v>6316.0</v>
      </c>
      <c r="N370" s="7">
        <v>0.649</v>
      </c>
      <c r="O370" s="8">
        <v>5546.0</v>
      </c>
      <c r="P370" s="7">
        <v>4549.85</v>
      </c>
      <c r="Q370" s="7">
        <v>5160082.0</v>
      </c>
      <c r="R370" s="7">
        <v>0.88</v>
      </c>
      <c r="S370" s="7">
        <v>13781.0</v>
      </c>
      <c r="T370" s="7">
        <v>216.88</v>
      </c>
      <c r="U370" s="7">
        <v>2059.0</v>
      </c>
      <c r="V370" s="7">
        <v>0.11</v>
      </c>
      <c r="W370" s="7">
        <v>882.0</v>
      </c>
      <c r="X370" s="7">
        <v>77.26</v>
      </c>
      <c r="Y370" s="7">
        <v>22126.0</v>
      </c>
      <c r="Z370" s="7">
        <v>3.49</v>
      </c>
      <c r="AA370" s="7">
        <v>0.0</v>
      </c>
      <c r="AB370" s="7"/>
      <c r="AC370" s="7"/>
      <c r="AD370" s="7"/>
    </row>
    <row r="371" ht="15.75" customHeight="1">
      <c r="A371" s="6">
        <v>44931.0</v>
      </c>
      <c r="B371" s="7">
        <f t="shared" si="1"/>
        <v>5</v>
      </c>
      <c r="C371" s="7">
        <f t="shared" si="2"/>
        <v>1</v>
      </c>
      <c r="D371" s="7">
        <v>9804.63</v>
      </c>
      <c r="E371" s="7">
        <v>11678.0</v>
      </c>
      <c r="F371" s="7">
        <v>23639.0</v>
      </c>
      <c r="G371" s="7">
        <v>35317.0</v>
      </c>
      <c r="H371" s="7">
        <v>534.63</v>
      </c>
      <c r="I371" s="7">
        <v>5548.0</v>
      </c>
      <c r="J371" s="7">
        <v>0.096</v>
      </c>
      <c r="K371" s="7">
        <v>4307.0</v>
      </c>
      <c r="L371" s="7">
        <v>4227.05</v>
      </c>
      <c r="M371" s="7">
        <v>6071.0</v>
      </c>
      <c r="N371" s="7">
        <v>0.696</v>
      </c>
      <c r="O371" s="8">
        <v>5182.0</v>
      </c>
      <c r="P371" s="7">
        <v>4770.82</v>
      </c>
      <c r="Q371" s="7">
        <v>5023919.0</v>
      </c>
      <c r="R371" s="7">
        <v>0.95</v>
      </c>
      <c r="S371" s="7">
        <v>13395.0</v>
      </c>
      <c r="T371" s="7">
        <v>201.56</v>
      </c>
      <c r="U371" s="7">
        <v>2107.0</v>
      </c>
      <c r="V371" s="7">
        <v>0.1</v>
      </c>
      <c r="W371" s="7">
        <v>869.0</v>
      </c>
      <c r="X371" s="7">
        <v>70.57</v>
      </c>
      <c r="Y371" s="7">
        <v>18858.0</v>
      </c>
      <c r="Z371" s="7">
        <v>3.74</v>
      </c>
      <c r="AA371" s="7">
        <v>0.0</v>
      </c>
      <c r="AB371" s="7"/>
      <c r="AC371" s="7"/>
      <c r="AD371" s="7"/>
    </row>
    <row r="372" ht="15.75" customHeight="1">
      <c r="A372" s="6">
        <v>44932.0</v>
      </c>
      <c r="B372" s="7">
        <f t="shared" si="1"/>
        <v>6</v>
      </c>
      <c r="C372" s="7">
        <f t="shared" si="2"/>
        <v>1</v>
      </c>
      <c r="D372" s="7">
        <v>10830.71</v>
      </c>
      <c r="E372" s="7">
        <v>10426.0</v>
      </c>
      <c r="F372" s="7">
        <v>26425.0</v>
      </c>
      <c r="G372" s="7">
        <v>36851.0</v>
      </c>
      <c r="H372" s="7">
        <v>478.23</v>
      </c>
      <c r="I372" s="7">
        <v>5526.0</v>
      </c>
      <c r="J372" s="7">
        <v>0.087</v>
      </c>
      <c r="K372" s="7">
        <v>4167.0</v>
      </c>
      <c r="L372" s="7">
        <v>4825.89</v>
      </c>
      <c r="M372" s="7">
        <v>7037.0</v>
      </c>
      <c r="N372" s="7">
        <v>0.686</v>
      </c>
      <c r="O372" s="8">
        <v>6008.0</v>
      </c>
      <c r="P372" s="7">
        <v>5239.29</v>
      </c>
      <c r="Q372" s="7">
        <v>5803410.0</v>
      </c>
      <c r="R372" s="7">
        <v>0.9</v>
      </c>
      <c r="S372" s="7">
        <v>15381.0</v>
      </c>
      <c r="T372" s="7">
        <v>218.39</v>
      </c>
      <c r="U372" s="7">
        <v>2257.0</v>
      </c>
      <c r="V372" s="7">
        <v>0.1</v>
      </c>
      <c r="W372" s="7">
        <v>927.0</v>
      </c>
      <c r="X372" s="7">
        <v>68.91</v>
      </c>
      <c r="Y372" s="7">
        <v>18719.0</v>
      </c>
      <c r="Z372" s="7">
        <v>3.68</v>
      </c>
      <c r="AA372" s="7">
        <v>0.0</v>
      </c>
      <c r="AB372" s="7"/>
      <c r="AC372" s="7"/>
      <c r="AD372" s="7"/>
    </row>
    <row r="373" ht="15.75" customHeight="1">
      <c r="A373" s="6">
        <v>44933.0</v>
      </c>
      <c r="B373" s="7">
        <f t="shared" si="1"/>
        <v>7</v>
      </c>
      <c r="C373" s="7">
        <f t="shared" si="2"/>
        <v>1</v>
      </c>
      <c r="D373" s="7">
        <v>10758.13</v>
      </c>
      <c r="E373" s="7">
        <v>10315.0</v>
      </c>
      <c r="F373" s="7">
        <v>26674.0</v>
      </c>
      <c r="G373" s="7">
        <v>36989.0</v>
      </c>
      <c r="H373" s="7">
        <v>445.16</v>
      </c>
      <c r="I373" s="7">
        <v>5468.0</v>
      </c>
      <c r="J373" s="7">
        <v>0.081</v>
      </c>
      <c r="K373" s="7">
        <v>4175.0</v>
      </c>
      <c r="L373" s="7">
        <v>4569.47</v>
      </c>
      <c r="M373" s="7">
        <v>6572.0</v>
      </c>
      <c r="N373" s="7">
        <v>0.695</v>
      </c>
      <c r="O373" s="8">
        <v>5502.0</v>
      </c>
      <c r="P373" s="7">
        <v>5452.56</v>
      </c>
      <c r="Q373" s="7">
        <v>6253605.0</v>
      </c>
      <c r="R373" s="7">
        <v>0.87</v>
      </c>
      <c r="S373" s="7">
        <v>16229.0</v>
      </c>
      <c r="T373" s="7">
        <v>218.73</v>
      </c>
      <c r="U373" s="7">
        <v>2138.0</v>
      </c>
      <c r="V373" s="7">
        <v>0.1</v>
      </c>
      <c r="W373" s="7">
        <v>949.0</v>
      </c>
      <c r="X373" s="7">
        <v>72.21</v>
      </c>
      <c r="Y373" s="7">
        <v>19541.0</v>
      </c>
      <c r="Z373" s="7">
        <v>3.7</v>
      </c>
      <c r="AA373" s="7">
        <v>0.0</v>
      </c>
      <c r="AB373" s="7"/>
      <c r="AC373" s="7"/>
      <c r="AD373" s="7"/>
    </row>
    <row r="374" ht="15.75" customHeight="1">
      <c r="A374" s="6">
        <v>44934.0</v>
      </c>
      <c r="B374" s="7">
        <f t="shared" si="1"/>
        <v>8</v>
      </c>
      <c r="C374" s="7">
        <f t="shared" si="2"/>
        <v>1</v>
      </c>
      <c r="D374" s="7">
        <v>10413.95</v>
      </c>
      <c r="E374" s="7">
        <v>11758.0</v>
      </c>
      <c r="F374" s="7">
        <v>29470.0</v>
      </c>
      <c r="G374" s="7">
        <v>41228.0</v>
      </c>
      <c r="H374" s="7">
        <v>557.03</v>
      </c>
      <c r="I374" s="7">
        <v>6480.0</v>
      </c>
      <c r="J374" s="7">
        <v>0.086</v>
      </c>
      <c r="K374" s="7">
        <v>4921.0</v>
      </c>
      <c r="L374" s="7">
        <v>3900.28</v>
      </c>
      <c r="M374" s="7">
        <v>6937.0</v>
      </c>
      <c r="N374" s="7">
        <v>0.562</v>
      </c>
      <c r="O374" s="8">
        <v>5817.0</v>
      </c>
      <c r="P374" s="7">
        <v>5693.4</v>
      </c>
      <c r="Q374" s="7">
        <v>6723998.0</v>
      </c>
      <c r="R374" s="7">
        <v>0.85</v>
      </c>
      <c r="S374" s="7">
        <v>18198.0</v>
      </c>
      <c r="T374" s="7">
        <v>191.79</v>
      </c>
      <c r="U374" s="7">
        <v>2053.0</v>
      </c>
      <c r="V374" s="7">
        <v>0.09</v>
      </c>
      <c r="W374" s="7">
        <v>968.0</v>
      </c>
      <c r="X374" s="7">
        <v>71.45</v>
      </c>
      <c r="Y374" s="7">
        <v>20515.0</v>
      </c>
      <c r="Z374" s="7">
        <v>3.48</v>
      </c>
      <c r="AA374" s="7">
        <v>0.0</v>
      </c>
      <c r="AB374" s="7"/>
      <c r="AC374" s="7"/>
      <c r="AD374" s="7"/>
    </row>
    <row r="375" ht="15.75" customHeight="1">
      <c r="A375" s="6">
        <v>44935.0</v>
      </c>
      <c r="B375" s="7">
        <f t="shared" si="1"/>
        <v>9</v>
      </c>
      <c r="C375" s="7">
        <f t="shared" si="2"/>
        <v>1</v>
      </c>
      <c r="D375" s="7">
        <v>11480.62</v>
      </c>
      <c r="E375" s="7">
        <v>12788.0</v>
      </c>
      <c r="F375" s="7">
        <v>26605.0</v>
      </c>
      <c r="G375" s="7">
        <v>39393.0</v>
      </c>
      <c r="H375" s="7">
        <v>732.28</v>
      </c>
      <c r="I375" s="7">
        <v>5982.0</v>
      </c>
      <c r="J375" s="7">
        <v>0.122</v>
      </c>
      <c r="K375" s="7">
        <v>4856.0</v>
      </c>
      <c r="L375" s="7">
        <v>5069.03</v>
      </c>
      <c r="M375" s="7">
        <v>6976.0</v>
      </c>
      <c r="N375" s="7">
        <v>0.727</v>
      </c>
      <c r="O375" s="8">
        <v>5680.0</v>
      </c>
      <c r="P375" s="7">
        <v>5358.58</v>
      </c>
      <c r="Q375" s="7">
        <v>6194765.0</v>
      </c>
      <c r="R375" s="7">
        <v>0.87</v>
      </c>
      <c r="S375" s="7">
        <v>14895.0</v>
      </c>
      <c r="T375" s="7">
        <v>246.7</v>
      </c>
      <c r="U375" s="7">
        <v>2254.0</v>
      </c>
      <c r="V375" s="7">
        <v>0.11</v>
      </c>
      <c r="W375" s="7">
        <v>929.0</v>
      </c>
      <c r="X375" s="7">
        <v>74.03</v>
      </c>
      <c r="Y375" s="7">
        <v>18869.0</v>
      </c>
      <c r="Z375" s="7">
        <v>3.92</v>
      </c>
      <c r="AA375" s="7">
        <v>0.0</v>
      </c>
      <c r="AB375" s="7"/>
      <c r="AC375" s="7"/>
      <c r="AD375" s="7"/>
    </row>
    <row r="376" ht="15.75" customHeight="1">
      <c r="A376" s="6">
        <v>44936.0</v>
      </c>
      <c r="B376" s="7">
        <f t="shared" si="1"/>
        <v>10</v>
      </c>
      <c r="C376" s="7">
        <f t="shared" si="2"/>
        <v>1</v>
      </c>
      <c r="D376" s="7">
        <v>11018.76</v>
      </c>
      <c r="E376" s="7">
        <v>14641.0</v>
      </c>
      <c r="F376" s="7">
        <v>23966.0</v>
      </c>
      <c r="G376" s="7">
        <v>38607.0</v>
      </c>
      <c r="H376" s="7">
        <v>585.11</v>
      </c>
      <c r="I376" s="7">
        <v>5476.0</v>
      </c>
      <c r="J376" s="7">
        <v>0.107</v>
      </c>
      <c r="K376" s="7">
        <v>4386.0</v>
      </c>
      <c r="L376" s="7">
        <v>4613.09</v>
      </c>
      <c r="M376" s="7">
        <v>6513.0</v>
      </c>
      <c r="N376" s="7">
        <v>0.708</v>
      </c>
      <c r="O376" s="8">
        <v>5630.0</v>
      </c>
      <c r="P376" s="7">
        <v>5529.33</v>
      </c>
      <c r="Q376" s="7">
        <v>5616122.0</v>
      </c>
      <c r="R376" s="7">
        <v>0.98</v>
      </c>
      <c r="S376" s="7">
        <v>13167.0</v>
      </c>
      <c r="T376" s="7">
        <v>220.36</v>
      </c>
      <c r="U376" s="7">
        <v>2202.0</v>
      </c>
      <c r="V376" s="7">
        <v>0.1</v>
      </c>
      <c r="W376" s="7">
        <v>851.0</v>
      </c>
      <c r="X376" s="7">
        <v>70.87</v>
      </c>
      <c r="Y376" s="7">
        <v>22043.0</v>
      </c>
      <c r="Z376" s="7">
        <v>3.22</v>
      </c>
      <c r="AA376" s="7">
        <v>0.0</v>
      </c>
      <c r="AB376" s="7"/>
      <c r="AC376" s="7"/>
      <c r="AD376" s="7"/>
    </row>
    <row r="377" ht="15.75" customHeight="1">
      <c r="A377" s="6">
        <v>44937.0</v>
      </c>
      <c r="B377" s="7">
        <f t="shared" si="1"/>
        <v>11</v>
      </c>
      <c r="C377" s="7">
        <f t="shared" si="2"/>
        <v>1</v>
      </c>
      <c r="D377" s="7">
        <v>10585.85</v>
      </c>
      <c r="E377" s="7">
        <v>14491.0</v>
      </c>
      <c r="F377" s="7">
        <v>22731.0</v>
      </c>
      <c r="G377" s="7">
        <v>37222.0</v>
      </c>
      <c r="H377" s="7">
        <v>550.82</v>
      </c>
      <c r="I377" s="7">
        <v>5374.0</v>
      </c>
      <c r="J377" s="7">
        <v>0.102</v>
      </c>
      <c r="K377" s="7">
        <v>4429.0</v>
      </c>
      <c r="L377" s="7">
        <v>4292.54</v>
      </c>
      <c r="M377" s="7">
        <v>5962.0</v>
      </c>
      <c r="N377" s="7">
        <v>0.72</v>
      </c>
      <c r="O377" s="8">
        <v>5081.0</v>
      </c>
      <c r="P377" s="7">
        <v>5433.3</v>
      </c>
      <c r="Q377" s="7">
        <v>5110753.0</v>
      </c>
      <c r="R377" s="7">
        <v>1.06</v>
      </c>
      <c r="S377" s="7">
        <v>12499.0</v>
      </c>
      <c r="T377" s="7">
        <v>239.32</v>
      </c>
      <c r="U377" s="7">
        <v>2163.0</v>
      </c>
      <c r="V377" s="7">
        <v>0.11</v>
      </c>
      <c r="W377" s="7">
        <v>863.0</v>
      </c>
      <c r="X377" s="7">
        <v>69.87</v>
      </c>
      <c r="Y377" s="7">
        <v>23406.0</v>
      </c>
      <c r="Z377" s="7">
        <v>2.99</v>
      </c>
      <c r="AA377" s="7">
        <v>0.0</v>
      </c>
      <c r="AB377" s="7"/>
      <c r="AC377" s="7"/>
      <c r="AD377" s="7"/>
    </row>
    <row r="378" ht="15.75" customHeight="1">
      <c r="A378" s="6">
        <v>44938.0</v>
      </c>
      <c r="B378" s="7">
        <f t="shared" si="1"/>
        <v>12</v>
      </c>
      <c r="C378" s="7">
        <f t="shared" si="2"/>
        <v>1</v>
      </c>
      <c r="D378" s="7">
        <v>11174.65</v>
      </c>
      <c r="E378" s="7">
        <v>14009.0</v>
      </c>
      <c r="F378" s="7">
        <v>21081.0</v>
      </c>
      <c r="G378" s="7">
        <v>35090.0</v>
      </c>
      <c r="H378" s="7">
        <v>535.88</v>
      </c>
      <c r="I378" s="7">
        <v>5190.0</v>
      </c>
      <c r="J378" s="7">
        <v>0.103</v>
      </c>
      <c r="K378" s="7">
        <v>4007.0</v>
      </c>
      <c r="L378" s="7">
        <v>4871.92</v>
      </c>
      <c r="M378" s="7">
        <v>6005.0</v>
      </c>
      <c r="N378" s="7">
        <v>0.811</v>
      </c>
      <c r="O378" s="8">
        <v>4976.0</v>
      </c>
      <c r="P378" s="7">
        <v>5483.53</v>
      </c>
      <c r="Q378" s="7">
        <v>4954706.0</v>
      </c>
      <c r="R378" s="7">
        <v>1.11</v>
      </c>
      <c r="S378" s="7">
        <v>11621.0</v>
      </c>
      <c r="T378" s="7">
        <v>210.67</v>
      </c>
      <c r="U378" s="7">
        <v>1951.0</v>
      </c>
      <c r="V378" s="7">
        <v>0.11</v>
      </c>
      <c r="W378" s="7">
        <v>796.0</v>
      </c>
      <c r="X378" s="7">
        <v>72.65</v>
      </c>
      <c r="Y378" s="7">
        <v>23516.0</v>
      </c>
      <c r="Z378" s="7">
        <v>3.09</v>
      </c>
      <c r="AA378" s="7">
        <v>0.0</v>
      </c>
      <c r="AB378" s="7"/>
      <c r="AC378" s="7"/>
      <c r="AD378" s="7"/>
    </row>
    <row r="379" ht="15.75" customHeight="1">
      <c r="A379" s="6">
        <v>44939.0</v>
      </c>
      <c r="B379" s="7">
        <f t="shared" si="1"/>
        <v>13</v>
      </c>
      <c r="C379" s="7">
        <f t="shared" si="2"/>
        <v>1</v>
      </c>
      <c r="D379" s="7">
        <v>10335.25</v>
      </c>
      <c r="E379" s="7">
        <v>12756.0</v>
      </c>
      <c r="F379" s="7">
        <v>19997.0</v>
      </c>
      <c r="G379" s="7">
        <v>32753.0</v>
      </c>
      <c r="H379" s="7">
        <v>494.12</v>
      </c>
      <c r="I379" s="7">
        <v>4706.0</v>
      </c>
      <c r="J379" s="7">
        <v>0.105</v>
      </c>
      <c r="K379" s="7">
        <v>3720.0</v>
      </c>
      <c r="L379" s="7">
        <v>4231.4</v>
      </c>
      <c r="M379" s="7">
        <v>5142.0</v>
      </c>
      <c r="N379" s="7">
        <v>0.823</v>
      </c>
      <c r="O379" s="8">
        <v>4324.0</v>
      </c>
      <c r="P379" s="7">
        <v>5323.64</v>
      </c>
      <c r="Q379" s="7">
        <v>4609803.0</v>
      </c>
      <c r="R379" s="7">
        <v>1.15</v>
      </c>
      <c r="S379" s="7">
        <v>11074.0</v>
      </c>
      <c r="T379" s="7">
        <v>215.58</v>
      </c>
      <c r="U379" s="7">
        <v>2239.0</v>
      </c>
      <c r="V379" s="7">
        <v>0.1</v>
      </c>
      <c r="W379" s="7">
        <v>873.0</v>
      </c>
      <c r="X379" s="7">
        <v>70.51</v>
      </c>
      <c r="Y379" s="7">
        <v>19547.0</v>
      </c>
      <c r="Z379" s="7">
        <v>3.61</v>
      </c>
      <c r="AA379" s="7">
        <v>0.0</v>
      </c>
      <c r="AB379" s="7"/>
      <c r="AC379" s="7"/>
      <c r="AD379" s="7"/>
    </row>
    <row r="380" ht="15.75" customHeight="1">
      <c r="A380" s="6">
        <v>44940.0</v>
      </c>
      <c r="B380" s="7">
        <f t="shared" si="1"/>
        <v>14</v>
      </c>
      <c r="C380" s="7">
        <f t="shared" si="2"/>
        <v>1</v>
      </c>
      <c r="D380" s="7">
        <v>9883.18</v>
      </c>
      <c r="E380" s="7">
        <v>12218.0</v>
      </c>
      <c r="F380" s="7">
        <v>21315.0</v>
      </c>
      <c r="G380" s="7">
        <v>33533.0</v>
      </c>
      <c r="H380" s="7">
        <v>456.13</v>
      </c>
      <c r="I380" s="7">
        <v>4782.0</v>
      </c>
      <c r="J380" s="7">
        <v>0.095</v>
      </c>
      <c r="K380" s="7">
        <v>3787.0</v>
      </c>
      <c r="L380" s="7">
        <v>3840.75</v>
      </c>
      <c r="M380" s="7">
        <v>5313.0</v>
      </c>
      <c r="N380" s="7">
        <v>0.723</v>
      </c>
      <c r="O380" s="8">
        <v>4375.0</v>
      </c>
      <c r="P380" s="7">
        <v>5309.31</v>
      </c>
      <c r="Q380" s="7">
        <v>4817050.0</v>
      </c>
      <c r="R380" s="7">
        <v>1.1</v>
      </c>
      <c r="S380" s="7">
        <v>12002.0</v>
      </c>
      <c r="T380" s="7">
        <v>206.33</v>
      </c>
      <c r="U380" s="7">
        <v>2367.0</v>
      </c>
      <c r="V380" s="7">
        <v>0.09</v>
      </c>
      <c r="W380" s="7">
        <v>834.0</v>
      </c>
      <c r="X380" s="7">
        <v>70.66</v>
      </c>
      <c r="Y380" s="7">
        <v>21260.0</v>
      </c>
      <c r="Z380" s="7">
        <v>3.32</v>
      </c>
      <c r="AA380" s="7">
        <v>0.0</v>
      </c>
      <c r="AB380" s="7"/>
      <c r="AC380" s="7"/>
      <c r="AD380" s="7"/>
    </row>
    <row r="381" ht="15.75" customHeight="1">
      <c r="A381" s="6">
        <v>44941.0</v>
      </c>
      <c r="B381" s="7">
        <f t="shared" si="1"/>
        <v>15</v>
      </c>
      <c r="C381" s="7">
        <f t="shared" si="2"/>
        <v>1</v>
      </c>
      <c r="D381" s="7">
        <v>10973.24</v>
      </c>
      <c r="E381" s="7">
        <v>13399.0</v>
      </c>
      <c r="F381" s="7">
        <v>24754.0</v>
      </c>
      <c r="G381" s="7">
        <v>38153.0</v>
      </c>
      <c r="H381" s="7">
        <v>588.15</v>
      </c>
      <c r="I381" s="7">
        <v>6206.0</v>
      </c>
      <c r="J381" s="7">
        <v>0.095</v>
      </c>
      <c r="K381" s="7">
        <v>4729.0</v>
      </c>
      <c r="L381" s="7">
        <v>4347.47</v>
      </c>
      <c r="M381" s="7">
        <v>6568.0</v>
      </c>
      <c r="N381" s="7">
        <v>0.662</v>
      </c>
      <c r="O381" s="8">
        <v>5524.0</v>
      </c>
      <c r="P381" s="7">
        <v>5772.55</v>
      </c>
      <c r="Q381" s="7">
        <v>5546730.0</v>
      </c>
      <c r="R381" s="7">
        <v>1.04</v>
      </c>
      <c r="S381" s="7">
        <v>14080.0</v>
      </c>
      <c r="T381" s="7">
        <v>193.29</v>
      </c>
      <c r="U381" s="7">
        <v>2579.0</v>
      </c>
      <c r="V381" s="7">
        <v>0.07</v>
      </c>
      <c r="W381" s="7">
        <v>974.0</v>
      </c>
      <c r="X381" s="7">
        <v>71.78</v>
      </c>
      <c r="Y381" s="7">
        <v>22454.0</v>
      </c>
      <c r="Z381" s="7">
        <v>3.2</v>
      </c>
      <c r="AA381" s="7">
        <v>0.0</v>
      </c>
      <c r="AB381" s="7"/>
      <c r="AC381" s="7"/>
      <c r="AD381" s="7"/>
    </row>
    <row r="382" ht="15.75" customHeight="1">
      <c r="A382" s="6">
        <v>44942.0</v>
      </c>
      <c r="B382" s="7">
        <f t="shared" si="1"/>
        <v>16</v>
      </c>
      <c r="C382" s="7">
        <f t="shared" si="2"/>
        <v>1</v>
      </c>
      <c r="D382" s="7">
        <v>11213.98</v>
      </c>
      <c r="E382" s="7">
        <v>16265.0</v>
      </c>
      <c r="F382" s="7">
        <v>24871.0</v>
      </c>
      <c r="G382" s="7">
        <v>41136.0</v>
      </c>
      <c r="H382" s="7">
        <v>769.86</v>
      </c>
      <c r="I382" s="7">
        <v>6206.0</v>
      </c>
      <c r="J382" s="7">
        <v>0.124</v>
      </c>
      <c r="K382" s="7">
        <v>4868.0</v>
      </c>
      <c r="L382" s="7">
        <v>3622.12</v>
      </c>
      <c r="M382" s="7">
        <v>5254.0</v>
      </c>
      <c r="N382" s="7">
        <v>0.689</v>
      </c>
      <c r="O382" s="8">
        <v>4478.0</v>
      </c>
      <c r="P382" s="7">
        <v>6496.92</v>
      </c>
      <c r="Q382" s="7">
        <v>5864138.0</v>
      </c>
      <c r="R382" s="7">
        <v>1.11</v>
      </c>
      <c r="S382" s="7">
        <v>14816.0</v>
      </c>
      <c r="T382" s="7">
        <v>246.49</v>
      </c>
      <c r="U382" s="7">
        <v>2283.0</v>
      </c>
      <c r="V382" s="7">
        <v>0.11</v>
      </c>
      <c r="W382" s="7">
        <v>863.0</v>
      </c>
      <c r="X382" s="7">
        <v>78.59</v>
      </c>
      <c r="Y382" s="7">
        <v>23438.0</v>
      </c>
      <c r="Z382" s="7">
        <v>3.35</v>
      </c>
      <c r="AA382" s="7">
        <v>24.0</v>
      </c>
      <c r="AB382" s="7"/>
      <c r="AC382" s="7"/>
      <c r="AD382" s="7"/>
    </row>
    <row r="383" ht="15.75" customHeight="1">
      <c r="A383" s="6">
        <v>44943.0</v>
      </c>
      <c r="B383" s="7">
        <f t="shared" si="1"/>
        <v>17</v>
      </c>
      <c r="C383" s="7">
        <f t="shared" si="2"/>
        <v>1</v>
      </c>
      <c r="D383" s="7">
        <v>11275.52</v>
      </c>
      <c r="E383" s="7">
        <v>14129.0</v>
      </c>
      <c r="F383" s="7">
        <v>25256.0</v>
      </c>
      <c r="G383" s="7">
        <v>39385.0</v>
      </c>
      <c r="H383" s="7">
        <v>702.17</v>
      </c>
      <c r="I383" s="7">
        <v>5741.0</v>
      </c>
      <c r="J383" s="7">
        <v>0.122</v>
      </c>
      <c r="K383" s="7">
        <v>4590.0</v>
      </c>
      <c r="L383" s="7">
        <v>3586.81</v>
      </c>
      <c r="M383" s="7">
        <v>5201.0</v>
      </c>
      <c r="N383" s="7">
        <v>0.69</v>
      </c>
      <c r="O383" s="8">
        <v>4528.0</v>
      </c>
      <c r="P383" s="7">
        <v>6638.09</v>
      </c>
      <c r="Q383" s="7">
        <v>5654487.0</v>
      </c>
      <c r="R383" s="7">
        <v>1.17</v>
      </c>
      <c r="S383" s="7">
        <v>14956.0</v>
      </c>
      <c r="T383" s="7">
        <v>244.32</v>
      </c>
      <c r="U383" s="7">
        <v>2413.0</v>
      </c>
      <c r="V383" s="7">
        <v>0.1</v>
      </c>
      <c r="W383" s="7">
        <v>852.0</v>
      </c>
      <c r="X383" s="7">
        <v>104.13</v>
      </c>
      <c r="Y383" s="7">
        <v>29644.0</v>
      </c>
      <c r="Z383" s="7">
        <v>3.51</v>
      </c>
      <c r="AA383" s="7">
        <v>59.0</v>
      </c>
      <c r="AB383" s="7"/>
      <c r="AC383" s="7"/>
      <c r="AD383" s="7"/>
    </row>
    <row r="384" ht="15.75" customHeight="1">
      <c r="A384" s="6">
        <v>44944.0</v>
      </c>
      <c r="B384" s="7">
        <f t="shared" si="1"/>
        <v>18</v>
      </c>
      <c r="C384" s="7">
        <f t="shared" si="2"/>
        <v>1</v>
      </c>
      <c r="D384" s="7">
        <v>11483.97</v>
      </c>
      <c r="E384" s="7">
        <v>13697.0</v>
      </c>
      <c r="F384" s="7">
        <v>23041.0</v>
      </c>
      <c r="G384" s="7">
        <v>36738.0</v>
      </c>
      <c r="H384" s="7">
        <v>657.39</v>
      </c>
      <c r="I384" s="7">
        <v>5208.0</v>
      </c>
      <c r="J384" s="7">
        <v>0.126</v>
      </c>
      <c r="K384" s="7">
        <v>4089.0</v>
      </c>
      <c r="L384" s="7">
        <v>3608.67</v>
      </c>
      <c r="M384" s="7">
        <v>4966.0</v>
      </c>
      <c r="N384" s="7">
        <v>0.727</v>
      </c>
      <c r="O384" s="8">
        <v>4230.0</v>
      </c>
      <c r="P384" s="7">
        <v>6879.32</v>
      </c>
      <c r="Q384" s="7">
        <v>5640736.0</v>
      </c>
      <c r="R384" s="7">
        <v>1.22</v>
      </c>
      <c r="S384" s="7">
        <v>14110.0</v>
      </c>
      <c r="T384" s="7">
        <v>221.26</v>
      </c>
      <c r="U384" s="7">
        <v>2387.0</v>
      </c>
      <c r="V384" s="7">
        <v>0.09</v>
      </c>
      <c r="W384" s="7">
        <v>860.0</v>
      </c>
      <c r="X384" s="7">
        <v>117.33</v>
      </c>
      <c r="Y384" s="7">
        <v>29065.0</v>
      </c>
      <c r="Z384" s="7">
        <v>4.04</v>
      </c>
      <c r="AA384" s="7">
        <v>32.0</v>
      </c>
      <c r="AB384" s="7"/>
      <c r="AC384" s="7"/>
      <c r="AD384" s="7"/>
    </row>
    <row r="385" ht="15.75" customHeight="1">
      <c r="A385" s="6">
        <v>44945.0</v>
      </c>
      <c r="B385" s="7">
        <f t="shared" si="1"/>
        <v>19</v>
      </c>
      <c r="C385" s="7">
        <f t="shared" si="2"/>
        <v>1</v>
      </c>
      <c r="D385" s="7">
        <v>12382.96</v>
      </c>
      <c r="E385" s="7">
        <v>11602.0</v>
      </c>
      <c r="F385" s="7">
        <v>21919.0</v>
      </c>
      <c r="G385" s="7">
        <v>33521.0</v>
      </c>
      <c r="H385" s="7">
        <v>484.45</v>
      </c>
      <c r="I385" s="7">
        <v>4747.0</v>
      </c>
      <c r="J385" s="7">
        <v>0.102</v>
      </c>
      <c r="K385" s="7">
        <v>3689.0</v>
      </c>
      <c r="L385" s="7">
        <v>4311.31</v>
      </c>
      <c r="M385" s="7">
        <v>5637.0</v>
      </c>
      <c r="N385" s="7">
        <v>0.765</v>
      </c>
      <c r="O385" s="8">
        <v>4802.0</v>
      </c>
      <c r="P385" s="7">
        <v>7245.99</v>
      </c>
      <c r="Q385" s="7">
        <v>5335492.0</v>
      </c>
      <c r="R385" s="7">
        <v>1.36</v>
      </c>
      <c r="S385" s="7">
        <v>12635.0</v>
      </c>
      <c r="T385" s="7">
        <v>217.21</v>
      </c>
      <c r="U385" s="7">
        <v>2036.0</v>
      </c>
      <c r="V385" s="7">
        <v>0.11</v>
      </c>
      <c r="W385" s="7">
        <v>704.0</v>
      </c>
      <c r="X385" s="7">
        <v>124.0</v>
      </c>
      <c r="Y385" s="7">
        <v>28011.0</v>
      </c>
      <c r="Z385" s="7">
        <v>4.43</v>
      </c>
      <c r="AA385" s="7">
        <v>15.0</v>
      </c>
      <c r="AB385" s="7"/>
      <c r="AC385" s="7"/>
      <c r="AD385" s="7"/>
    </row>
    <row r="386" ht="15.75" customHeight="1">
      <c r="A386" s="6">
        <v>44946.0</v>
      </c>
      <c r="B386" s="7">
        <f t="shared" si="1"/>
        <v>20</v>
      </c>
      <c r="C386" s="7">
        <f t="shared" si="2"/>
        <v>1</v>
      </c>
      <c r="D386" s="7">
        <v>13607.54</v>
      </c>
      <c r="E386" s="7">
        <v>10646.0</v>
      </c>
      <c r="F386" s="7">
        <v>21704.0</v>
      </c>
      <c r="G386" s="7">
        <v>32350.0</v>
      </c>
      <c r="H386" s="7">
        <v>432.85</v>
      </c>
      <c r="I386" s="7">
        <v>4427.0</v>
      </c>
      <c r="J386" s="7">
        <v>0.098</v>
      </c>
      <c r="K386" s="7">
        <v>3553.0</v>
      </c>
      <c r="L386" s="7">
        <v>5228.47</v>
      </c>
      <c r="M386" s="7">
        <v>5847.0</v>
      </c>
      <c r="N386" s="7">
        <v>0.894</v>
      </c>
      <c r="O386" s="8">
        <v>4858.0</v>
      </c>
      <c r="P386" s="7">
        <v>7599.37</v>
      </c>
      <c r="Q386" s="7">
        <v>5318702.0</v>
      </c>
      <c r="R386" s="7">
        <v>1.43</v>
      </c>
      <c r="S386" s="7">
        <v>12549.0</v>
      </c>
      <c r="T386" s="7">
        <v>205.13</v>
      </c>
      <c r="U386" s="7">
        <v>1811.0</v>
      </c>
      <c r="V386" s="7">
        <v>0.11</v>
      </c>
      <c r="W386" s="7">
        <v>697.0</v>
      </c>
      <c r="X386" s="7">
        <v>141.72</v>
      </c>
      <c r="Y386" s="7">
        <v>27558.0</v>
      </c>
      <c r="Z386" s="7">
        <v>5.14</v>
      </c>
      <c r="AA386" s="7">
        <v>10.0</v>
      </c>
      <c r="AB386" s="7"/>
      <c r="AC386" s="7"/>
      <c r="AD386" s="7"/>
    </row>
    <row r="387" ht="15.75" customHeight="1">
      <c r="A387" s="6">
        <v>44947.0</v>
      </c>
      <c r="B387" s="7">
        <f t="shared" si="1"/>
        <v>21</v>
      </c>
      <c r="C387" s="7">
        <f t="shared" si="2"/>
        <v>1</v>
      </c>
      <c r="D387" s="7">
        <v>14712.69</v>
      </c>
      <c r="E387" s="7">
        <v>10902.0</v>
      </c>
      <c r="F387" s="7">
        <v>23538.0</v>
      </c>
      <c r="G387" s="7">
        <v>34440.0</v>
      </c>
      <c r="H387" s="7">
        <v>482.55</v>
      </c>
      <c r="I387" s="7">
        <v>4859.0</v>
      </c>
      <c r="J387" s="7">
        <v>0.099</v>
      </c>
      <c r="K387" s="7">
        <v>3670.0</v>
      </c>
      <c r="L387" s="7">
        <v>5946.81</v>
      </c>
      <c r="M387" s="7">
        <v>6585.0</v>
      </c>
      <c r="N387" s="7">
        <v>0.903</v>
      </c>
      <c r="O387" s="8">
        <v>5105.0</v>
      </c>
      <c r="P387" s="7">
        <v>7911.3</v>
      </c>
      <c r="Q387" s="7">
        <v>5809883.0</v>
      </c>
      <c r="R387" s="7">
        <v>1.36</v>
      </c>
      <c r="S387" s="7">
        <v>14098.0</v>
      </c>
      <c r="T387" s="7">
        <v>201.97</v>
      </c>
      <c r="U387" s="7">
        <v>2491.0</v>
      </c>
      <c r="V387" s="7">
        <v>0.08</v>
      </c>
      <c r="W387" s="7">
        <v>815.0</v>
      </c>
      <c r="X387" s="7">
        <v>170.06</v>
      </c>
      <c r="Y387" s="7">
        <v>31041.0</v>
      </c>
      <c r="Z387" s="7">
        <v>5.48</v>
      </c>
      <c r="AA387" s="7">
        <v>12.0</v>
      </c>
      <c r="AB387" s="7"/>
      <c r="AC387" s="7"/>
      <c r="AD387" s="7"/>
    </row>
    <row r="388" ht="15.75" customHeight="1">
      <c r="A388" s="6">
        <v>44948.0</v>
      </c>
      <c r="B388" s="7">
        <f t="shared" si="1"/>
        <v>22</v>
      </c>
      <c r="C388" s="7">
        <f t="shared" si="2"/>
        <v>1</v>
      </c>
      <c r="D388" s="7">
        <v>16022.36</v>
      </c>
      <c r="E388" s="7">
        <v>12694.0</v>
      </c>
      <c r="F388" s="7">
        <v>28507.0</v>
      </c>
      <c r="G388" s="7">
        <v>41201.0</v>
      </c>
      <c r="H388" s="7">
        <v>519.66</v>
      </c>
      <c r="I388" s="7">
        <v>6021.0</v>
      </c>
      <c r="J388" s="7">
        <v>0.086</v>
      </c>
      <c r="K388" s="7">
        <v>4580.0</v>
      </c>
      <c r="L388" s="7">
        <v>6418.71</v>
      </c>
      <c r="M388" s="7">
        <v>7836.0</v>
      </c>
      <c r="N388" s="7">
        <v>0.819</v>
      </c>
      <c r="O388" s="8">
        <v>6468.0</v>
      </c>
      <c r="P388" s="7">
        <v>8693.22</v>
      </c>
      <c r="Q388" s="7">
        <v>6967502.0</v>
      </c>
      <c r="R388" s="7">
        <v>1.25</v>
      </c>
      <c r="S388" s="7">
        <v>17011.0</v>
      </c>
      <c r="T388" s="7">
        <v>190.33</v>
      </c>
      <c r="U388" s="7">
        <v>3351.0</v>
      </c>
      <c r="V388" s="7">
        <v>0.06</v>
      </c>
      <c r="W388" s="7">
        <v>843.0</v>
      </c>
      <c r="X388" s="7">
        <v>200.44</v>
      </c>
      <c r="Y388" s="7">
        <v>30624.0</v>
      </c>
      <c r="Z388" s="7">
        <v>6.55</v>
      </c>
      <c r="AA388" s="7">
        <v>11.0</v>
      </c>
      <c r="AB388" s="7"/>
      <c r="AC388" s="7"/>
      <c r="AD388" s="7"/>
    </row>
    <row r="389" ht="15.75" customHeight="1">
      <c r="A389" s="6">
        <v>44949.0</v>
      </c>
      <c r="B389" s="7">
        <f t="shared" si="1"/>
        <v>23</v>
      </c>
      <c r="C389" s="7">
        <f t="shared" si="2"/>
        <v>1</v>
      </c>
      <c r="D389" s="7">
        <v>14474.07</v>
      </c>
      <c r="E389" s="7">
        <v>12889.0</v>
      </c>
      <c r="F389" s="7">
        <v>24301.0</v>
      </c>
      <c r="G389" s="7">
        <v>37190.0</v>
      </c>
      <c r="H389" s="7">
        <v>590.29</v>
      </c>
      <c r="I389" s="7">
        <v>5333.0</v>
      </c>
      <c r="J389" s="7">
        <v>0.111</v>
      </c>
      <c r="K389" s="7">
        <v>4134.0</v>
      </c>
      <c r="L389" s="7">
        <v>5112.85</v>
      </c>
      <c r="M389" s="7">
        <v>6162.0</v>
      </c>
      <c r="N389" s="7">
        <v>0.83</v>
      </c>
      <c r="O389" s="8">
        <v>5215.0</v>
      </c>
      <c r="P389" s="7">
        <v>8221.68</v>
      </c>
      <c r="Q389" s="7">
        <v>6375665.0</v>
      </c>
      <c r="R389" s="7">
        <v>1.29</v>
      </c>
      <c r="S389" s="7">
        <v>13902.0</v>
      </c>
      <c r="T389" s="7">
        <v>348.12</v>
      </c>
      <c r="U389" s="7">
        <v>2571.0</v>
      </c>
      <c r="V389" s="7">
        <v>0.14</v>
      </c>
      <c r="W389" s="7">
        <v>897.0</v>
      </c>
      <c r="X389" s="7">
        <v>201.13</v>
      </c>
      <c r="Y389" s="7">
        <v>28422.0</v>
      </c>
      <c r="Z389" s="7">
        <v>7.08</v>
      </c>
      <c r="AA389" s="7">
        <v>11.0</v>
      </c>
      <c r="AB389" s="7"/>
      <c r="AC389" s="7"/>
      <c r="AD389" s="7"/>
    </row>
    <row r="390" ht="15.75" customHeight="1">
      <c r="A390" s="6">
        <v>44950.0</v>
      </c>
      <c r="B390" s="7">
        <f t="shared" si="1"/>
        <v>24</v>
      </c>
      <c r="C390" s="7">
        <f t="shared" si="2"/>
        <v>1</v>
      </c>
      <c r="D390" s="7">
        <v>14576.77</v>
      </c>
      <c r="E390" s="7">
        <v>12367.0</v>
      </c>
      <c r="F390" s="7">
        <v>23738.0</v>
      </c>
      <c r="G390" s="7">
        <v>36105.0</v>
      </c>
      <c r="H390" s="7">
        <v>592.0</v>
      </c>
      <c r="I390" s="7">
        <v>5307.0</v>
      </c>
      <c r="J390" s="7">
        <v>0.112</v>
      </c>
      <c r="K390" s="7">
        <v>4246.0</v>
      </c>
      <c r="L390" s="7">
        <v>5457.32</v>
      </c>
      <c r="M390" s="7">
        <v>6329.0</v>
      </c>
      <c r="N390" s="7">
        <v>0.862</v>
      </c>
      <c r="O390" s="8">
        <v>5220.0</v>
      </c>
      <c r="P390" s="7">
        <v>8090.28</v>
      </c>
      <c r="Q390" s="7">
        <v>5670916.0</v>
      </c>
      <c r="R390" s="7">
        <v>1.43</v>
      </c>
      <c r="S390" s="7">
        <v>13106.0</v>
      </c>
      <c r="T390" s="7">
        <v>344.88</v>
      </c>
      <c r="U390" s="7">
        <v>2427.0</v>
      </c>
      <c r="V390" s="7">
        <v>0.14</v>
      </c>
      <c r="W390" s="7">
        <v>871.0</v>
      </c>
      <c r="X390" s="7">
        <v>92.29</v>
      </c>
      <c r="Y390" s="7">
        <v>20188.0</v>
      </c>
      <c r="Z390" s="7">
        <v>4.57</v>
      </c>
      <c r="AA390" s="7">
        <v>3.0</v>
      </c>
      <c r="AB390" s="7"/>
      <c r="AC390" s="7"/>
      <c r="AD390" s="7"/>
    </row>
    <row r="391" ht="15.75" customHeight="1">
      <c r="A391" s="6">
        <v>44951.0</v>
      </c>
      <c r="B391" s="7">
        <f t="shared" si="1"/>
        <v>25</v>
      </c>
      <c r="C391" s="7">
        <f t="shared" si="2"/>
        <v>1</v>
      </c>
      <c r="D391" s="7">
        <v>14684.37</v>
      </c>
      <c r="E391" s="7">
        <v>11859.0</v>
      </c>
      <c r="F391" s="7">
        <v>23263.0</v>
      </c>
      <c r="G391" s="7">
        <v>35122.0</v>
      </c>
      <c r="H391" s="7">
        <v>594.02</v>
      </c>
      <c r="I391" s="7">
        <v>5078.0</v>
      </c>
      <c r="J391" s="7">
        <v>0.117</v>
      </c>
      <c r="K391" s="7">
        <v>4064.0</v>
      </c>
      <c r="L391" s="7">
        <v>5602.45</v>
      </c>
      <c r="M391" s="7">
        <v>6213.0</v>
      </c>
      <c r="N391" s="7">
        <v>0.902</v>
      </c>
      <c r="O391" s="8">
        <v>5137.0</v>
      </c>
      <c r="P391" s="7">
        <v>8096.16</v>
      </c>
      <c r="Q391" s="7">
        <v>5742077.0</v>
      </c>
      <c r="R391" s="7">
        <v>1.41</v>
      </c>
      <c r="S391" s="7">
        <v>12920.0</v>
      </c>
      <c r="T391" s="7">
        <v>322.26</v>
      </c>
      <c r="U391" s="7">
        <v>2456.0</v>
      </c>
      <c r="V391" s="7">
        <v>0.13</v>
      </c>
      <c r="W391" s="7">
        <v>753.0</v>
      </c>
      <c r="X391" s="7">
        <v>69.48</v>
      </c>
      <c r="Y391" s="7">
        <v>18921.0</v>
      </c>
      <c r="Z391" s="7">
        <v>3.67</v>
      </c>
      <c r="AA391" s="7">
        <v>1.0</v>
      </c>
      <c r="AB391" s="7"/>
      <c r="AC391" s="7"/>
      <c r="AD391" s="7"/>
    </row>
    <row r="392" ht="15.75" customHeight="1">
      <c r="A392" s="6">
        <v>44952.0</v>
      </c>
      <c r="B392" s="7">
        <f t="shared" si="1"/>
        <v>26</v>
      </c>
      <c r="C392" s="7">
        <f t="shared" si="2"/>
        <v>1</v>
      </c>
      <c r="D392" s="7">
        <v>14556.57</v>
      </c>
      <c r="E392" s="7">
        <v>11693.0</v>
      </c>
      <c r="F392" s="7">
        <v>21654.0</v>
      </c>
      <c r="G392" s="7">
        <v>33347.0</v>
      </c>
      <c r="H392" s="7">
        <v>598.73</v>
      </c>
      <c r="I392" s="7">
        <v>4847.0</v>
      </c>
      <c r="J392" s="7">
        <v>0.124</v>
      </c>
      <c r="K392" s="7">
        <v>3964.0</v>
      </c>
      <c r="L392" s="7">
        <v>5473.98</v>
      </c>
      <c r="M392" s="7">
        <v>6028.0</v>
      </c>
      <c r="N392" s="7">
        <v>0.908</v>
      </c>
      <c r="O392" s="8">
        <v>4890.0</v>
      </c>
      <c r="P392" s="7">
        <v>8106.01</v>
      </c>
      <c r="Q392" s="7">
        <v>5709736.0</v>
      </c>
      <c r="R392" s="7">
        <v>1.42</v>
      </c>
      <c r="S392" s="7">
        <v>12069.0</v>
      </c>
      <c r="T392" s="7">
        <v>309.68</v>
      </c>
      <c r="U392" s="7">
        <v>2823.0</v>
      </c>
      <c r="V392" s="7">
        <v>0.11</v>
      </c>
      <c r="W392" s="7">
        <v>735.0</v>
      </c>
      <c r="X392" s="7">
        <v>68.17</v>
      </c>
      <c r="Y392" s="7">
        <v>17295.0</v>
      </c>
      <c r="Z392" s="7">
        <v>3.94</v>
      </c>
      <c r="AA392" s="7">
        <v>0.0</v>
      </c>
      <c r="AB392" s="7"/>
      <c r="AC392" s="7"/>
      <c r="AD392" s="7"/>
    </row>
    <row r="393" ht="15.75" customHeight="1">
      <c r="A393" s="6">
        <v>44953.0</v>
      </c>
      <c r="B393" s="7">
        <f t="shared" si="1"/>
        <v>27</v>
      </c>
      <c r="C393" s="7">
        <f t="shared" si="2"/>
        <v>1</v>
      </c>
      <c r="D393" s="7">
        <v>13733.7</v>
      </c>
      <c r="E393" s="7">
        <v>13848.0</v>
      </c>
      <c r="F393" s="7">
        <v>18385.0</v>
      </c>
      <c r="G393" s="7">
        <v>32233.0</v>
      </c>
      <c r="H393" s="7">
        <v>506.1</v>
      </c>
      <c r="I393" s="7">
        <v>4367.0</v>
      </c>
      <c r="J393" s="7">
        <v>0.116</v>
      </c>
      <c r="K393" s="7">
        <v>3251.0</v>
      </c>
      <c r="L393" s="7">
        <v>4850.05</v>
      </c>
      <c r="M393" s="7">
        <v>5513.0</v>
      </c>
      <c r="N393" s="7">
        <v>0.88</v>
      </c>
      <c r="O393" s="8">
        <v>4173.0</v>
      </c>
      <c r="P393" s="7">
        <v>7989.51</v>
      </c>
      <c r="Q393" s="7">
        <v>5209332.0</v>
      </c>
      <c r="R393" s="7">
        <v>1.53</v>
      </c>
      <c r="S393" s="7">
        <v>10133.0</v>
      </c>
      <c r="T393" s="7">
        <v>319.88</v>
      </c>
      <c r="U393" s="7">
        <v>2954.0</v>
      </c>
      <c r="V393" s="7">
        <v>0.11</v>
      </c>
      <c r="W393" s="7">
        <v>687.0</v>
      </c>
      <c r="X393" s="7">
        <v>68.16</v>
      </c>
      <c r="Y393" s="7">
        <v>16057.0</v>
      </c>
      <c r="Z393" s="7">
        <v>4.24</v>
      </c>
      <c r="AA393" s="7">
        <v>0.0</v>
      </c>
      <c r="AB393" s="7"/>
      <c r="AC393" s="7"/>
      <c r="AD393" s="7"/>
    </row>
    <row r="394" ht="15.75" customHeight="1">
      <c r="A394" s="6">
        <v>44954.0</v>
      </c>
      <c r="B394" s="7">
        <f t="shared" si="1"/>
        <v>28</v>
      </c>
      <c r="C394" s="7">
        <f t="shared" si="2"/>
        <v>1</v>
      </c>
      <c r="D394" s="7">
        <v>14798.47</v>
      </c>
      <c r="E394" s="7">
        <v>11723.0</v>
      </c>
      <c r="F394" s="7">
        <v>22887.0</v>
      </c>
      <c r="G394" s="7">
        <v>34610.0</v>
      </c>
      <c r="H394" s="7">
        <v>554.75</v>
      </c>
      <c r="I394" s="7">
        <v>4885.0</v>
      </c>
      <c r="J394" s="7">
        <v>0.114</v>
      </c>
      <c r="K394" s="7">
        <v>3799.0</v>
      </c>
      <c r="L394" s="7">
        <v>5438.43</v>
      </c>
      <c r="M394" s="7">
        <v>6388.0</v>
      </c>
      <c r="N394" s="7">
        <v>0.851</v>
      </c>
      <c r="O394" s="8">
        <v>5303.0</v>
      </c>
      <c r="P394" s="7">
        <v>8452.27</v>
      </c>
      <c r="Q394" s="7">
        <v>5413626.0</v>
      </c>
      <c r="R394" s="7">
        <v>1.56</v>
      </c>
      <c r="S394" s="7">
        <v>12929.0</v>
      </c>
      <c r="T394" s="7">
        <v>286.29</v>
      </c>
      <c r="U394" s="7">
        <v>2906.0</v>
      </c>
      <c r="V394" s="7">
        <v>0.1</v>
      </c>
      <c r="W394" s="7">
        <v>703.0</v>
      </c>
      <c r="X394" s="7">
        <v>66.73</v>
      </c>
      <c r="Y394" s="7">
        <v>17216.0</v>
      </c>
      <c r="Z394" s="7">
        <v>3.88</v>
      </c>
      <c r="AA394" s="7">
        <v>0.0</v>
      </c>
      <c r="AB394" s="7"/>
      <c r="AC394" s="7"/>
      <c r="AD394" s="7"/>
    </row>
    <row r="395" ht="15.75" customHeight="1">
      <c r="A395" s="6">
        <v>44955.0</v>
      </c>
      <c r="B395" s="7">
        <f t="shared" si="1"/>
        <v>29</v>
      </c>
      <c r="C395" s="7">
        <f t="shared" si="2"/>
        <v>1</v>
      </c>
      <c r="D395" s="7">
        <v>15996.02</v>
      </c>
      <c r="E395" s="7">
        <v>12380.0</v>
      </c>
      <c r="F395" s="7">
        <v>25795.0</v>
      </c>
      <c r="G395" s="7">
        <v>38175.0</v>
      </c>
      <c r="H395" s="7">
        <v>675.83</v>
      </c>
      <c r="I395" s="7">
        <v>5984.0</v>
      </c>
      <c r="J395" s="7">
        <v>0.113</v>
      </c>
      <c r="K395" s="7">
        <v>4585.0</v>
      </c>
      <c r="L395" s="7">
        <v>5906.34</v>
      </c>
      <c r="M395" s="7">
        <v>7198.0</v>
      </c>
      <c r="N395" s="7">
        <v>0.821</v>
      </c>
      <c r="O395" s="8">
        <v>5910.0</v>
      </c>
      <c r="P395" s="7">
        <v>9047.84</v>
      </c>
      <c r="Q395" s="7">
        <v>6236677.0</v>
      </c>
      <c r="R395" s="7">
        <v>1.45</v>
      </c>
      <c r="S395" s="7">
        <v>14728.0</v>
      </c>
      <c r="T395" s="7">
        <v>300.2</v>
      </c>
      <c r="U395" s="7">
        <v>3247.0</v>
      </c>
      <c r="V395" s="7">
        <v>0.09</v>
      </c>
      <c r="W395" s="7">
        <v>842.0</v>
      </c>
      <c r="X395" s="7">
        <v>65.81</v>
      </c>
      <c r="Y395" s="7">
        <v>17839.0</v>
      </c>
      <c r="Z395" s="7">
        <v>3.69</v>
      </c>
      <c r="AA395" s="7">
        <v>4.0</v>
      </c>
      <c r="AB395" s="7"/>
      <c r="AC395" s="7"/>
      <c r="AD395" s="7"/>
    </row>
    <row r="396" ht="15.75" customHeight="1">
      <c r="A396" s="6">
        <v>44956.0</v>
      </c>
      <c r="B396" s="7">
        <f t="shared" si="1"/>
        <v>30</v>
      </c>
      <c r="C396" s="7">
        <f t="shared" si="2"/>
        <v>1</v>
      </c>
      <c r="D396" s="7">
        <v>14379.58</v>
      </c>
      <c r="E396" s="7">
        <v>13137.0</v>
      </c>
      <c r="F396" s="7">
        <v>22310.0</v>
      </c>
      <c r="G396" s="7">
        <v>35447.0</v>
      </c>
      <c r="H396" s="7">
        <v>684.67</v>
      </c>
      <c r="I396" s="7">
        <v>5604.0</v>
      </c>
      <c r="J396" s="7">
        <v>0.122</v>
      </c>
      <c r="K396" s="7">
        <v>4447.0</v>
      </c>
      <c r="L396" s="7">
        <v>4803.27</v>
      </c>
      <c r="M396" s="7">
        <v>5593.0</v>
      </c>
      <c r="N396" s="7">
        <v>0.859</v>
      </c>
      <c r="O396" s="8">
        <v>4728.0</v>
      </c>
      <c r="P396" s="7">
        <v>8480.98</v>
      </c>
      <c r="Q396" s="7">
        <v>5776845.0</v>
      </c>
      <c r="R396" s="7">
        <v>1.47</v>
      </c>
      <c r="S396" s="7">
        <v>12248.0</v>
      </c>
      <c r="T396" s="7">
        <v>346.43</v>
      </c>
      <c r="U396" s="7">
        <v>2811.0</v>
      </c>
      <c r="V396" s="7">
        <v>0.12</v>
      </c>
      <c r="W396" s="7">
        <v>886.0</v>
      </c>
      <c r="X396" s="7">
        <v>64.23</v>
      </c>
      <c r="Y396" s="7">
        <v>15941.0</v>
      </c>
      <c r="Z396" s="7">
        <v>4.03</v>
      </c>
      <c r="AA396" s="7">
        <v>2.0</v>
      </c>
      <c r="AB396" s="7"/>
      <c r="AC396" s="7"/>
      <c r="AD396" s="7"/>
    </row>
    <row r="397" ht="15.75" customHeight="1">
      <c r="A397" s="6">
        <v>44957.0</v>
      </c>
      <c r="B397" s="7">
        <f t="shared" si="1"/>
        <v>31</v>
      </c>
      <c r="C397" s="7">
        <f t="shared" si="2"/>
        <v>1</v>
      </c>
      <c r="D397" s="7">
        <v>13872.69</v>
      </c>
      <c r="E397" s="7">
        <v>13502.0</v>
      </c>
      <c r="F397" s="7">
        <v>21425.0</v>
      </c>
      <c r="G397" s="7">
        <v>34927.0</v>
      </c>
      <c r="H397" s="7">
        <v>675.85</v>
      </c>
      <c r="I397" s="7">
        <v>5252.0</v>
      </c>
      <c r="J397" s="7">
        <v>0.129</v>
      </c>
      <c r="K397" s="7">
        <v>4356.0</v>
      </c>
      <c r="L397" s="7">
        <v>4499.23</v>
      </c>
      <c r="M397" s="7">
        <v>5405.0</v>
      </c>
      <c r="N397" s="7">
        <v>0.832</v>
      </c>
      <c r="O397" s="8">
        <v>4386.0</v>
      </c>
      <c r="P397" s="7">
        <v>8293.35</v>
      </c>
      <c r="Q397" s="7">
        <v>5401737.0</v>
      </c>
      <c r="R397" s="7">
        <v>1.54</v>
      </c>
      <c r="S397" s="7">
        <v>11609.0</v>
      </c>
      <c r="T397" s="7">
        <v>345.12</v>
      </c>
      <c r="U397" s="7">
        <v>2880.0</v>
      </c>
      <c r="V397" s="7">
        <v>0.12</v>
      </c>
      <c r="W397" s="7">
        <v>949.0</v>
      </c>
      <c r="X397" s="7">
        <v>59.14</v>
      </c>
      <c r="Y397" s="7">
        <v>14190.0</v>
      </c>
      <c r="Z397" s="7">
        <v>4.17</v>
      </c>
      <c r="AA397" s="7">
        <v>0.0</v>
      </c>
      <c r="AB397" s="7"/>
      <c r="AC397" s="7"/>
      <c r="AD397" s="7"/>
    </row>
    <row r="398" ht="15.75" customHeight="1">
      <c r="A398" s="6">
        <v>44958.0</v>
      </c>
      <c r="B398" s="7">
        <f t="shared" si="1"/>
        <v>1</v>
      </c>
      <c r="C398" s="7">
        <f t="shared" si="2"/>
        <v>2</v>
      </c>
      <c r="D398" s="7">
        <v>12093.91</v>
      </c>
      <c r="E398" s="7">
        <v>11062.0</v>
      </c>
      <c r="F398" s="7">
        <v>20647.0</v>
      </c>
      <c r="G398" s="7">
        <v>31709.0</v>
      </c>
      <c r="H398" s="7">
        <v>643.56</v>
      </c>
      <c r="I398" s="7">
        <v>4515.0</v>
      </c>
      <c r="J398" s="7">
        <v>0.143</v>
      </c>
      <c r="K398" s="7">
        <v>3756.0</v>
      </c>
      <c r="L398" s="7">
        <v>4732.28</v>
      </c>
      <c r="M398" s="7">
        <v>5562.0</v>
      </c>
      <c r="N398" s="7">
        <v>0.851</v>
      </c>
      <c r="O398" s="8">
        <v>4661.0</v>
      </c>
      <c r="P398" s="7">
        <v>6448.68</v>
      </c>
      <c r="Q398" s="7">
        <v>4388677.0</v>
      </c>
      <c r="R398" s="7">
        <v>1.47</v>
      </c>
      <c r="S398" s="7">
        <v>11522.0</v>
      </c>
      <c r="T398" s="7">
        <v>231.51</v>
      </c>
      <c r="U398" s="7">
        <v>2572.0</v>
      </c>
      <c r="V398" s="7">
        <v>0.09</v>
      </c>
      <c r="W398" s="7">
        <v>887.0</v>
      </c>
      <c r="X398" s="7">
        <v>37.88</v>
      </c>
      <c r="Y398" s="7">
        <v>13331.0</v>
      </c>
      <c r="Z398" s="7">
        <v>2.84</v>
      </c>
      <c r="AA398" s="7">
        <v>0.0</v>
      </c>
      <c r="AB398" s="7"/>
      <c r="AC398" s="7"/>
      <c r="AD398" s="7"/>
    </row>
    <row r="399" ht="15.75" customHeight="1">
      <c r="A399" s="6">
        <v>44959.0</v>
      </c>
      <c r="B399" s="7">
        <f t="shared" si="1"/>
        <v>2</v>
      </c>
      <c r="C399" s="7">
        <f t="shared" si="2"/>
        <v>2</v>
      </c>
      <c r="D399" s="7">
        <v>12771.61</v>
      </c>
      <c r="E399" s="7">
        <v>10471.0</v>
      </c>
      <c r="F399" s="7">
        <v>21399.0</v>
      </c>
      <c r="G399" s="7">
        <v>31870.0</v>
      </c>
      <c r="H399" s="7">
        <v>387.47</v>
      </c>
      <c r="I399" s="7">
        <v>3826.0</v>
      </c>
      <c r="J399" s="7">
        <v>0.101</v>
      </c>
      <c r="K399" s="7">
        <v>3156.0</v>
      </c>
      <c r="L399" s="7">
        <v>5360.91</v>
      </c>
      <c r="M399" s="7">
        <v>5987.0</v>
      </c>
      <c r="N399" s="7">
        <v>0.895</v>
      </c>
      <c r="O399" s="8">
        <v>5076.0</v>
      </c>
      <c r="P399" s="7">
        <v>6731.81</v>
      </c>
      <c r="Q399" s="7">
        <v>4717417.0</v>
      </c>
      <c r="R399" s="7">
        <v>1.43</v>
      </c>
      <c r="S399" s="7">
        <v>12147.0</v>
      </c>
      <c r="T399" s="7">
        <v>216.64</v>
      </c>
      <c r="U399" s="7">
        <v>2445.0</v>
      </c>
      <c r="V399" s="7">
        <v>0.09</v>
      </c>
      <c r="W399" s="7">
        <v>879.0</v>
      </c>
      <c r="X399" s="7">
        <v>74.78</v>
      </c>
      <c r="Y399" s="7">
        <v>26527.0</v>
      </c>
      <c r="Z399" s="7">
        <v>2.82</v>
      </c>
      <c r="AA399" s="7">
        <v>1.0</v>
      </c>
      <c r="AB399" s="7"/>
      <c r="AC399" s="7"/>
      <c r="AD399" s="7"/>
    </row>
    <row r="400" ht="15.75" customHeight="1">
      <c r="A400" s="6">
        <v>44960.0</v>
      </c>
      <c r="B400" s="7">
        <f t="shared" si="1"/>
        <v>3</v>
      </c>
      <c r="C400" s="7">
        <f t="shared" si="2"/>
        <v>2</v>
      </c>
      <c r="D400" s="7">
        <v>13933.08</v>
      </c>
      <c r="E400" s="7">
        <v>10510.0</v>
      </c>
      <c r="F400" s="7">
        <v>20508.0</v>
      </c>
      <c r="G400" s="7">
        <v>31018.0</v>
      </c>
      <c r="H400" s="7">
        <v>457.47</v>
      </c>
      <c r="I400" s="7">
        <v>3661.0</v>
      </c>
      <c r="J400" s="7">
        <v>0.125</v>
      </c>
      <c r="K400" s="7">
        <v>3038.0</v>
      </c>
      <c r="L400" s="7">
        <v>6301.87</v>
      </c>
      <c r="M400" s="7">
        <v>6292.0</v>
      </c>
      <c r="N400" s="7">
        <v>1.002</v>
      </c>
      <c r="O400" s="8">
        <v>5105.0</v>
      </c>
      <c r="P400" s="7">
        <v>6885.3</v>
      </c>
      <c r="Q400" s="7">
        <v>4834062.0</v>
      </c>
      <c r="R400" s="7">
        <v>1.42</v>
      </c>
      <c r="S400" s="7">
        <v>11698.0</v>
      </c>
      <c r="T400" s="7">
        <v>212.69</v>
      </c>
      <c r="U400" s="7">
        <v>2378.0</v>
      </c>
      <c r="V400" s="7">
        <v>0.09</v>
      </c>
      <c r="W400" s="7">
        <v>815.0</v>
      </c>
      <c r="X400" s="7">
        <v>75.75</v>
      </c>
      <c r="Y400" s="7">
        <v>24603.0</v>
      </c>
      <c r="Z400" s="7">
        <v>3.08</v>
      </c>
      <c r="AA400" s="7">
        <v>0.0</v>
      </c>
      <c r="AB400" s="7"/>
      <c r="AC400" s="7"/>
      <c r="AD400" s="7"/>
    </row>
    <row r="401" ht="15.75" customHeight="1">
      <c r="A401" s="6">
        <v>44961.0</v>
      </c>
      <c r="B401" s="7">
        <f t="shared" si="1"/>
        <v>4</v>
      </c>
      <c r="C401" s="7">
        <f t="shared" si="2"/>
        <v>2</v>
      </c>
      <c r="D401" s="7">
        <v>14653.4</v>
      </c>
      <c r="E401" s="7">
        <v>9739.0</v>
      </c>
      <c r="F401" s="7">
        <v>22897.0</v>
      </c>
      <c r="G401" s="7">
        <v>32636.0</v>
      </c>
      <c r="H401" s="7">
        <v>350.94</v>
      </c>
      <c r="I401" s="7">
        <v>4319.0</v>
      </c>
      <c r="J401" s="7">
        <v>0.081</v>
      </c>
      <c r="K401" s="7">
        <v>3302.0</v>
      </c>
      <c r="L401" s="7">
        <v>7066.73</v>
      </c>
      <c r="M401" s="7">
        <v>7055.0</v>
      </c>
      <c r="N401" s="7">
        <v>1.002</v>
      </c>
      <c r="O401" s="8">
        <v>5705.0</v>
      </c>
      <c r="P401" s="7">
        <v>6972.39</v>
      </c>
      <c r="Q401" s="7">
        <v>4937453.0</v>
      </c>
      <c r="R401" s="7">
        <v>1.41</v>
      </c>
      <c r="S401" s="7">
        <v>12888.0</v>
      </c>
      <c r="T401" s="7">
        <v>188.39</v>
      </c>
      <c r="U401" s="7">
        <v>3215.0</v>
      </c>
      <c r="V401" s="7">
        <v>0.06</v>
      </c>
      <c r="W401" s="7">
        <v>801.0</v>
      </c>
      <c r="X401" s="7">
        <v>74.95</v>
      </c>
      <c r="Y401" s="7">
        <v>23646.0</v>
      </c>
      <c r="Z401" s="7">
        <v>3.17</v>
      </c>
      <c r="AA401" s="7">
        <v>0.0</v>
      </c>
      <c r="AB401" s="7"/>
      <c r="AC401" s="7"/>
      <c r="AD401" s="7"/>
    </row>
    <row r="402" ht="15.75" customHeight="1">
      <c r="A402" s="6">
        <v>44962.0</v>
      </c>
      <c r="B402" s="7">
        <f t="shared" si="1"/>
        <v>5</v>
      </c>
      <c r="C402" s="7">
        <f t="shared" si="2"/>
        <v>2</v>
      </c>
      <c r="D402" s="7">
        <v>15556.8</v>
      </c>
      <c r="E402" s="7">
        <v>11327.0</v>
      </c>
      <c r="F402" s="7">
        <v>25907.0</v>
      </c>
      <c r="G402" s="7">
        <v>37234.0</v>
      </c>
      <c r="H402" s="7">
        <v>582.32</v>
      </c>
      <c r="I402" s="7">
        <v>5361.0</v>
      </c>
      <c r="J402" s="7">
        <v>0.109</v>
      </c>
      <c r="K402" s="7">
        <v>3990.0</v>
      </c>
      <c r="L402" s="7">
        <v>7167.09</v>
      </c>
      <c r="M402" s="7">
        <v>8487.0</v>
      </c>
      <c r="N402" s="7">
        <v>0.844</v>
      </c>
      <c r="O402" s="8">
        <v>6340.0</v>
      </c>
      <c r="P402" s="7">
        <v>7545.25</v>
      </c>
      <c r="Q402" s="7">
        <v>5797708.0</v>
      </c>
      <c r="R402" s="7">
        <v>1.3</v>
      </c>
      <c r="S402" s="7">
        <v>14547.0</v>
      </c>
      <c r="T402" s="7">
        <v>187.01</v>
      </c>
      <c r="U402" s="7">
        <v>3055.0</v>
      </c>
      <c r="V402" s="7">
        <v>0.06</v>
      </c>
      <c r="W402" s="7">
        <v>854.0</v>
      </c>
      <c r="X402" s="7">
        <v>75.13</v>
      </c>
      <c r="Y402" s="7">
        <v>22978.0</v>
      </c>
      <c r="Z402" s="7">
        <v>3.27</v>
      </c>
      <c r="AA402" s="7">
        <v>1.0</v>
      </c>
      <c r="AB402" s="7"/>
      <c r="AC402" s="7"/>
      <c r="AD402" s="7"/>
    </row>
    <row r="403" ht="15.75" customHeight="1">
      <c r="A403" s="6">
        <v>44963.0</v>
      </c>
      <c r="B403" s="7">
        <f t="shared" si="1"/>
        <v>6</v>
      </c>
      <c r="C403" s="7">
        <f t="shared" si="2"/>
        <v>2</v>
      </c>
      <c r="D403" s="7">
        <v>14179.4</v>
      </c>
      <c r="E403" s="7">
        <v>10992.0</v>
      </c>
      <c r="F403" s="7">
        <v>22484.0</v>
      </c>
      <c r="G403" s="7">
        <v>33476.0</v>
      </c>
      <c r="H403" s="7">
        <v>687.05</v>
      </c>
      <c r="I403" s="7">
        <v>4492.0</v>
      </c>
      <c r="J403" s="7">
        <v>0.153</v>
      </c>
      <c r="K403" s="7">
        <v>3612.0</v>
      </c>
      <c r="L403" s="7">
        <v>6142.11</v>
      </c>
      <c r="M403" s="7">
        <v>6550.0</v>
      </c>
      <c r="N403" s="7">
        <v>0.938</v>
      </c>
      <c r="O403" s="8">
        <v>5452.0</v>
      </c>
      <c r="P403" s="7">
        <v>7082.95</v>
      </c>
      <c r="Q403" s="7">
        <v>5444900.0</v>
      </c>
      <c r="R403" s="7">
        <v>1.3</v>
      </c>
      <c r="S403" s="7">
        <v>12349.0</v>
      </c>
      <c r="T403" s="7">
        <v>246.46</v>
      </c>
      <c r="U403" s="7">
        <v>3500.0</v>
      </c>
      <c r="V403" s="7">
        <v>0.07</v>
      </c>
      <c r="W403" s="7">
        <v>934.0</v>
      </c>
      <c r="X403" s="7">
        <v>20.83</v>
      </c>
      <c r="Y403" s="7">
        <v>5795.0</v>
      </c>
      <c r="Z403" s="7">
        <v>3.59</v>
      </c>
      <c r="AA403" s="7">
        <v>0.0</v>
      </c>
      <c r="AB403" s="7"/>
      <c r="AC403" s="7"/>
      <c r="AD403" s="7"/>
    </row>
    <row r="404" ht="15.75" customHeight="1">
      <c r="A404" s="6">
        <v>44964.0</v>
      </c>
      <c r="B404" s="7">
        <f t="shared" si="1"/>
        <v>7</v>
      </c>
      <c r="C404" s="7">
        <f t="shared" si="2"/>
        <v>2</v>
      </c>
      <c r="D404" s="7">
        <v>13850.38</v>
      </c>
      <c r="E404" s="7">
        <v>10857.0</v>
      </c>
      <c r="F404" s="7">
        <v>19296.0</v>
      </c>
      <c r="G404" s="7">
        <v>30153.0</v>
      </c>
      <c r="H404" s="7">
        <v>769.72</v>
      </c>
      <c r="I404" s="7">
        <v>4201.0</v>
      </c>
      <c r="J404" s="7">
        <v>0.183</v>
      </c>
      <c r="K404" s="7">
        <v>3333.0</v>
      </c>
      <c r="L404" s="7">
        <v>6216.9</v>
      </c>
      <c r="M404" s="7">
        <v>6408.0</v>
      </c>
      <c r="N404" s="7">
        <v>0.97</v>
      </c>
      <c r="O404" s="8">
        <v>5337.0</v>
      </c>
      <c r="P404" s="7">
        <v>6765.84</v>
      </c>
      <c r="Q404" s="7">
        <v>4942474.0</v>
      </c>
      <c r="R404" s="7">
        <v>1.37</v>
      </c>
      <c r="S404" s="7">
        <v>10665.0</v>
      </c>
      <c r="T404" s="7">
        <v>27.92</v>
      </c>
      <c r="U404" s="7">
        <v>429.0</v>
      </c>
      <c r="V404" s="7">
        <v>0.07</v>
      </c>
      <c r="W404" s="7">
        <v>332.0</v>
      </c>
      <c r="X404" s="7">
        <v>70.0</v>
      </c>
      <c r="Y404" s="7">
        <v>17414.0</v>
      </c>
      <c r="Z404" s="7">
        <v>4.02</v>
      </c>
      <c r="AA404" s="7">
        <v>1.0</v>
      </c>
      <c r="AB404" s="7"/>
      <c r="AC404" s="7"/>
      <c r="AD404" s="7"/>
    </row>
    <row r="405" ht="15.75" customHeight="1">
      <c r="A405" s="6">
        <v>44965.0</v>
      </c>
      <c r="B405" s="7">
        <f t="shared" si="1"/>
        <v>8</v>
      </c>
      <c r="C405" s="7">
        <f t="shared" si="2"/>
        <v>2</v>
      </c>
      <c r="D405" s="7">
        <v>12074.15</v>
      </c>
      <c r="E405" s="7">
        <v>10138.0</v>
      </c>
      <c r="F405" s="7">
        <v>16510.0</v>
      </c>
      <c r="G405" s="7">
        <v>26648.0</v>
      </c>
      <c r="H405" s="7">
        <v>558.03</v>
      </c>
      <c r="I405" s="7">
        <v>3462.0</v>
      </c>
      <c r="J405" s="7">
        <v>0.161</v>
      </c>
      <c r="K405" s="7">
        <v>2811.0</v>
      </c>
      <c r="L405" s="7">
        <v>5209.2</v>
      </c>
      <c r="M405" s="7">
        <v>5605.0</v>
      </c>
      <c r="N405" s="7">
        <v>0.929</v>
      </c>
      <c r="O405" s="8">
        <v>4700.0</v>
      </c>
      <c r="P405" s="7">
        <v>6176.94</v>
      </c>
      <c r="Q405" s="7">
        <v>4737262.0</v>
      </c>
      <c r="R405" s="7">
        <v>1.3</v>
      </c>
      <c r="S405" s="7">
        <v>8581.0</v>
      </c>
      <c r="T405" s="7">
        <v>51.7</v>
      </c>
      <c r="U405" s="7">
        <v>5.0</v>
      </c>
      <c r="V405" s="7">
        <v>10.34</v>
      </c>
      <c r="W405" s="7">
        <v>152.0</v>
      </c>
      <c r="X405" s="7">
        <v>78.28</v>
      </c>
      <c r="Y405" s="7">
        <v>14529.0</v>
      </c>
      <c r="Z405" s="7">
        <v>5.39</v>
      </c>
      <c r="AA405" s="7">
        <v>0.0</v>
      </c>
      <c r="AB405" s="7"/>
      <c r="AC405" s="7"/>
      <c r="AD405" s="7"/>
    </row>
    <row r="406" ht="15.75" customHeight="1">
      <c r="A406" s="6">
        <v>44966.0</v>
      </c>
      <c r="B406" s="7">
        <f t="shared" si="1"/>
        <v>9</v>
      </c>
      <c r="C406" s="7">
        <f t="shared" si="2"/>
        <v>2</v>
      </c>
      <c r="D406" s="7">
        <v>13320.29</v>
      </c>
      <c r="E406" s="7">
        <v>9911.0</v>
      </c>
      <c r="F406" s="7">
        <v>17012.0</v>
      </c>
      <c r="G406" s="7">
        <v>26923.0</v>
      </c>
      <c r="H406" s="7">
        <v>579.31</v>
      </c>
      <c r="I406" s="7">
        <v>3703.0</v>
      </c>
      <c r="J406" s="7">
        <v>0.156</v>
      </c>
      <c r="K406" s="7">
        <v>2966.0</v>
      </c>
      <c r="L406" s="7">
        <v>5917.25</v>
      </c>
      <c r="M406" s="7">
        <v>6057.0</v>
      </c>
      <c r="N406" s="7">
        <v>0.977</v>
      </c>
      <c r="O406" s="8">
        <v>4789.0</v>
      </c>
      <c r="P406" s="7">
        <v>6695.89</v>
      </c>
      <c r="Q406" s="7">
        <v>4522009.0</v>
      </c>
      <c r="R406" s="7">
        <v>1.48</v>
      </c>
      <c r="S406" s="7">
        <v>9420.0</v>
      </c>
      <c r="T406" s="7">
        <v>49.58</v>
      </c>
      <c r="U406" s="7">
        <v>14.0</v>
      </c>
      <c r="V406" s="7">
        <v>3.54</v>
      </c>
      <c r="W406" s="7">
        <v>158.0</v>
      </c>
      <c r="X406" s="7">
        <v>78.26</v>
      </c>
      <c r="Y406" s="7">
        <v>13304.0</v>
      </c>
      <c r="Z406" s="7">
        <v>5.88</v>
      </c>
      <c r="AA406" s="7">
        <v>0.0</v>
      </c>
      <c r="AB406" s="7"/>
      <c r="AC406" s="7"/>
      <c r="AD406" s="7"/>
    </row>
    <row r="407" ht="15.75" customHeight="1">
      <c r="A407" s="6">
        <v>44967.0</v>
      </c>
      <c r="B407" s="7">
        <f t="shared" si="1"/>
        <v>10</v>
      </c>
      <c r="C407" s="7">
        <f t="shared" si="2"/>
        <v>2</v>
      </c>
      <c r="D407" s="7">
        <v>13953.99</v>
      </c>
      <c r="E407" s="7">
        <v>8662.0</v>
      </c>
      <c r="F407" s="7">
        <v>16647.0</v>
      </c>
      <c r="G407" s="7">
        <v>25309.0</v>
      </c>
      <c r="H407" s="7">
        <v>475.05</v>
      </c>
      <c r="I407" s="7">
        <v>3204.0</v>
      </c>
      <c r="J407" s="7">
        <v>0.148</v>
      </c>
      <c r="K407" s="7">
        <v>2631.0</v>
      </c>
      <c r="L407" s="7">
        <v>6290.43</v>
      </c>
      <c r="M407" s="7">
        <v>5686.0</v>
      </c>
      <c r="N407" s="7">
        <v>1.106</v>
      </c>
      <c r="O407" s="8">
        <v>4637.0</v>
      </c>
      <c r="P407" s="7">
        <v>7062.48</v>
      </c>
      <c r="Q407" s="7">
        <v>4391255.0</v>
      </c>
      <c r="R407" s="7">
        <v>1.61</v>
      </c>
      <c r="S407" s="7">
        <v>9328.0</v>
      </c>
      <c r="T407" s="7">
        <v>49.75</v>
      </c>
      <c r="U407" s="7">
        <v>16.0</v>
      </c>
      <c r="V407" s="7">
        <v>3.11</v>
      </c>
      <c r="W407" s="7">
        <v>128.0</v>
      </c>
      <c r="X407" s="7">
        <v>76.28</v>
      </c>
      <c r="Y407" s="7">
        <v>14843.0</v>
      </c>
      <c r="Z407" s="7">
        <v>5.14</v>
      </c>
      <c r="AA407" s="7">
        <v>0.0</v>
      </c>
      <c r="AB407" s="7"/>
      <c r="AC407" s="7"/>
      <c r="AD407" s="7"/>
    </row>
    <row r="408" ht="15.75" customHeight="1">
      <c r="A408" s="6">
        <v>44968.0</v>
      </c>
      <c r="B408" s="7">
        <f t="shared" si="1"/>
        <v>11</v>
      </c>
      <c r="C408" s="7">
        <f t="shared" si="2"/>
        <v>2</v>
      </c>
      <c r="D408" s="7">
        <v>13852.6</v>
      </c>
      <c r="E408" s="7">
        <v>8371.0</v>
      </c>
      <c r="F408" s="7">
        <v>17394.0</v>
      </c>
      <c r="G408" s="7">
        <v>25765.0</v>
      </c>
      <c r="H408" s="7">
        <v>542.3</v>
      </c>
      <c r="I408" s="7">
        <v>3579.0</v>
      </c>
      <c r="J408" s="7">
        <v>0.152</v>
      </c>
      <c r="K408" s="7">
        <v>2772.0</v>
      </c>
      <c r="L408" s="7">
        <v>5803.75</v>
      </c>
      <c r="M408" s="7">
        <v>6018.0</v>
      </c>
      <c r="N408" s="7">
        <v>0.964</v>
      </c>
      <c r="O408" s="8">
        <v>4782.0</v>
      </c>
      <c r="P408" s="7">
        <v>7380.27</v>
      </c>
      <c r="Q408" s="7">
        <v>4705166.0</v>
      </c>
      <c r="R408" s="7">
        <v>1.57</v>
      </c>
      <c r="S408" s="7">
        <v>10030.0</v>
      </c>
      <c r="T408" s="7">
        <v>49.69</v>
      </c>
      <c r="U408" s="7">
        <v>9.0</v>
      </c>
      <c r="V408" s="7">
        <v>5.52</v>
      </c>
      <c r="W408" s="7">
        <v>92.0</v>
      </c>
      <c r="X408" s="7">
        <v>76.59</v>
      </c>
      <c r="Y408" s="7">
        <v>14896.0</v>
      </c>
      <c r="Z408" s="7">
        <v>5.14</v>
      </c>
      <c r="AA408" s="7">
        <v>0.0</v>
      </c>
      <c r="AB408" s="7"/>
      <c r="AC408" s="7"/>
      <c r="AD408" s="7"/>
    </row>
    <row r="409" ht="15.75" customHeight="1">
      <c r="A409" s="6">
        <v>44969.0</v>
      </c>
      <c r="B409" s="7">
        <f t="shared" si="1"/>
        <v>12</v>
      </c>
      <c r="C409" s="7">
        <f t="shared" si="2"/>
        <v>2</v>
      </c>
      <c r="D409" s="7">
        <v>15033.05</v>
      </c>
      <c r="E409" s="7">
        <v>9536.0</v>
      </c>
      <c r="F409" s="7">
        <v>21986.0</v>
      </c>
      <c r="G409" s="7">
        <v>31522.0</v>
      </c>
      <c r="H409" s="7">
        <v>729.36</v>
      </c>
      <c r="I409" s="7">
        <v>4347.0</v>
      </c>
      <c r="J409" s="7">
        <v>0.168</v>
      </c>
      <c r="K409" s="7">
        <v>3379.0</v>
      </c>
      <c r="L409" s="7">
        <v>6537.28</v>
      </c>
      <c r="M409" s="7">
        <v>7365.0</v>
      </c>
      <c r="N409" s="7">
        <v>0.888</v>
      </c>
      <c r="O409" s="8">
        <v>6009.0</v>
      </c>
      <c r="P409" s="7">
        <v>7642.07</v>
      </c>
      <c r="Q409" s="7">
        <v>5766691.0</v>
      </c>
      <c r="R409" s="7">
        <v>1.33</v>
      </c>
      <c r="S409" s="7">
        <v>12278.0</v>
      </c>
      <c r="T409" s="7">
        <v>49.85</v>
      </c>
      <c r="U409" s="7">
        <v>13.0</v>
      </c>
      <c r="V409" s="7">
        <v>3.83</v>
      </c>
      <c r="W409" s="7">
        <v>114.0</v>
      </c>
      <c r="X409" s="7">
        <v>74.49</v>
      </c>
      <c r="Y409" s="7">
        <v>17303.0</v>
      </c>
      <c r="Z409" s="7">
        <v>4.31</v>
      </c>
      <c r="AA409" s="7">
        <v>0.0</v>
      </c>
      <c r="AB409" s="7"/>
      <c r="AC409" s="7"/>
      <c r="AD409" s="7"/>
    </row>
    <row r="410" ht="15.75" customHeight="1">
      <c r="A410" s="6">
        <v>44970.0</v>
      </c>
      <c r="B410" s="7">
        <f t="shared" si="1"/>
        <v>13</v>
      </c>
      <c r="C410" s="7">
        <f t="shared" si="2"/>
        <v>2</v>
      </c>
      <c r="D410" s="7">
        <v>13402.97</v>
      </c>
      <c r="E410" s="7">
        <v>9997.0</v>
      </c>
      <c r="F410" s="7">
        <v>19239.0</v>
      </c>
      <c r="G410" s="7">
        <v>29236.0</v>
      </c>
      <c r="H410" s="7">
        <v>782.46</v>
      </c>
      <c r="I410" s="7">
        <v>4371.0</v>
      </c>
      <c r="J410" s="7">
        <v>0.179</v>
      </c>
      <c r="K410" s="7">
        <v>3430.0</v>
      </c>
      <c r="L410" s="7">
        <v>5436.11</v>
      </c>
      <c r="M410" s="7">
        <v>6186.0</v>
      </c>
      <c r="N410" s="7">
        <v>0.879</v>
      </c>
      <c r="O410" s="8">
        <v>5126.0</v>
      </c>
      <c r="P410" s="7">
        <v>7056.6</v>
      </c>
      <c r="Q410" s="7">
        <v>4881713.0</v>
      </c>
      <c r="R410" s="7">
        <v>1.45</v>
      </c>
      <c r="S410" s="7">
        <v>10797.0</v>
      </c>
      <c r="T410" s="7">
        <v>50.33</v>
      </c>
      <c r="U410" s="7">
        <v>20.0</v>
      </c>
      <c r="V410" s="7">
        <v>2.52</v>
      </c>
      <c r="W410" s="7">
        <v>176.0</v>
      </c>
      <c r="X410" s="7">
        <v>77.47</v>
      </c>
      <c r="Y410" s="7">
        <v>19649.0</v>
      </c>
      <c r="Z410" s="7">
        <v>3.94</v>
      </c>
      <c r="AA410" s="7">
        <v>0.0</v>
      </c>
      <c r="AB410" s="7"/>
      <c r="AC410" s="7"/>
      <c r="AD410" s="7"/>
    </row>
    <row r="411" ht="15.75" customHeight="1">
      <c r="A411" s="6">
        <v>44971.0</v>
      </c>
      <c r="B411" s="7">
        <f t="shared" si="1"/>
        <v>14</v>
      </c>
      <c r="C411" s="7">
        <f t="shared" si="2"/>
        <v>2</v>
      </c>
      <c r="D411" s="7">
        <v>12854.8</v>
      </c>
      <c r="E411" s="7">
        <v>9726.0</v>
      </c>
      <c r="F411" s="7">
        <v>17823.0</v>
      </c>
      <c r="G411" s="7">
        <v>27549.0</v>
      </c>
      <c r="H411" s="7">
        <v>766.32</v>
      </c>
      <c r="I411" s="7">
        <v>4117.0</v>
      </c>
      <c r="J411" s="7">
        <v>0.186</v>
      </c>
      <c r="K411" s="7">
        <v>3271.0</v>
      </c>
      <c r="L411" s="7">
        <v>5327.42</v>
      </c>
      <c r="M411" s="7">
        <v>5808.0</v>
      </c>
      <c r="N411" s="7">
        <v>0.917</v>
      </c>
      <c r="O411" s="8">
        <v>4777.0</v>
      </c>
      <c r="P411" s="7">
        <v>6635.95</v>
      </c>
      <c r="Q411" s="7">
        <v>4683973.0</v>
      </c>
      <c r="R411" s="7">
        <v>1.42</v>
      </c>
      <c r="S411" s="7">
        <v>9826.0</v>
      </c>
      <c r="T411" s="7">
        <v>49.79</v>
      </c>
      <c r="U411" s="7">
        <v>10.0</v>
      </c>
      <c r="V411" s="7">
        <v>4.98</v>
      </c>
      <c r="W411" s="7">
        <v>158.0</v>
      </c>
      <c r="X411" s="7">
        <v>75.32</v>
      </c>
      <c r="Y411" s="7">
        <v>26429.0</v>
      </c>
      <c r="Z411" s="7">
        <v>2.85</v>
      </c>
      <c r="AA411" s="7">
        <v>0.0</v>
      </c>
      <c r="AB411" s="7"/>
      <c r="AC411" s="7"/>
      <c r="AD411" s="7"/>
    </row>
    <row r="412" ht="15.75" customHeight="1">
      <c r="A412" s="6">
        <v>44972.0</v>
      </c>
      <c r="B412" s="7">
        <f t="shared" si="1"/>
        <v>15</v>
      </c>
      <c r="C412" s="7">
        <f t="shared" si="2"/>
        <v>2</v>
      </c>
      <c r="D412" s="7">
        <v>12666.99</v>
      </c>
      <c r="E412" s="7">
        <v>10487.0</v>
      </c>
      <c r="F412" s="7">
        <v>18677.0</v>
      </c>
      <c r="G412" s="7">
        <v>29164.0</v>
      </c>
      <c r="H412" s="7">
        <v>646.57</v>
      </c>
      <c r="I412" s="7">
        <v>4084.0</v>
      </c>
      <c r="J412" s="7">
        <v>0.158</v>
      </c>
      <c r="K412" s="7">
        <v>3290.0</v>
      </c>
      <c r="L412" s="7">
        <v>5562.86</v>
      </c>
      <c r="M412" s="7">
        <v>5968.0</v>
      </c>
      <c r="N412" s="7">
        <v>0.932</v>
      </c>
      <c r="O412" s="8">
        <v>4831.0</v>
      </c>
      <c r="P412" s="7">
        <v>6331.2</v>
      </c>
      <c r="Q412" s="7">
        <v>4511967.0</v>
      </c>
      <c r="R412" s="7">
        <v>1.4</v>
      </c>
      <c r="S412" s="7">
        <v>10488.0</v>
      </c>
      <c r="T412" s="7">
        <v>50.35</v>
      </c>
      <c r="U412" s="7">
        <v>11.0</v>
      </c>
      <c r="V412" s="7">
        <v>4.58</v>
      </c>
      <c r="W412" s="7">
        <v>174.0</v>
      </c>
      <c r="X412" s="7">
        <v>76.01</v>
      </c>
      <c r="Y412" s="7">
        <v>21633.0</v>
      </c>
      <c r="Z412" s="7">
        <v>3.51</v>
      </c>
      <c r="AA412" s="7">
        <v>1.0</v>
      </c>
      <c r="AB412" s="7"/>
      <c r="AC412" s="7"/>
      <c r="AD412" s="7"/>
    </row>
    <row r="413" ht="15.75" customHeight="1">
      <c r="A413" s="6">
        <v>44973.0</v>
      </c>
      <c r="B413" s="7">
        <f t="shared" si="1"/>
        <v>16</v>
      </c>
      <c r="C413" s="7">
        <f t="shared" si="2"/>
        <v>2</v>
      </c>
      <c r="D413" s="7">
        <v>13141.81</v>
      </c>
      <c r="E413" s="7">
        <v>10758.0</v>
      </c>
      <c r="F413" s="7">
        <v>18068.0</v>
      </c>
      <c r="G413" s="7">
        <v>28826.0</v>
      </c>
      <c r="H413" s="7">
        <v>816.39</v>
      </c>
      <c r="I413" s="7">
        <v>4151.0</v>
      </c>
      <c r="J413" s="7">
        <v>0.197</v>
      </c>
      <c r="K413" s="7">
        <v>3374.0</v>
      </c>
      <c r="L413" s="7">
        <v>5649.93</v>
      </c>
      <c r="M413" s="7">
        <v>5808.0</v>
      </c>
      <c r="N413" s="7">
        <v>0.973</v>
      </c>
      <c r="O413" s="8">
        <v>4906.0</v>
      </c>
      <c r="P413" s="7">
        <v>6532.32</v>
      </c>
      <c r="Q413" s="7">
        <v>4461167.0</v>
      </c>
      <c r="R413" s="7">
        <v>1.46</v>
      </c>
      <c r="S413" s="7">
        <v>9852.0</v>
      </c>
      <c r="T413" s="7">
        <v>65.42</v>
      </c>
      <c r="U413" s="7">
        <v>124.0</v>
      </c>
      <c r="V413" s="7">
        <v>0.53</v>
      </c>
      <c r="W413" s="7">
        <v>208.0</v>
      </c>
      <c r="X413" s="7">
        <v>77.75</v>
      </c>
      <c r="Y413" s="7">
        <v>27703.0</v>
      </c>
      <c r="Z413" s="7">
        <v>2.81</v>
      </c>
      <c r="AA413" s="7">
        <v>0.0</v>
      </c>
      <c r="AB413" s="7"/>
      <c r="AC413" s="7"/>
      <c r="AD413" s="7"/>
    </row>
    <row r="414" ht="15.75" customHeight="1">
      <c r="A414" s="6">
        <v>44974.0</v>
      </c>
      <c r="B414" s="7">
        <f t="shared" si="1"/>
        <v>17</v>
      </c>
      <c r="C414" s="7">
        <f t="shared" si="2"/>
        <v>2</v>
      </c>
      <c r="D414" s="7">
        <v>12884.08</v>
      </c>
      <c r="E414" s="7">
        <v>9858.0</v>
      </c>
      <c r="F414" s="7">
        <v>18886.0</v>
      </c>
      <c r="G414" s="7">
        <v>28744.0</v>
      </c>
      <c r="H414" s="7">
        <v>835.5</v>
      </c>
      <c r="I414" s="7">
        <v>4066.0</v>
      </c>
      <c r="J414" s="7">
        <v>0.205</v>
      </c>
      <c r="K414" s="7">
        <v>3231.0</v>
      </c>
      <c r="L414" s="7">
        <v>5272.01</v>
      </c>
      <c r="M414" s="7">
        <v>5678.0</v>
      </c>
      <c r="N414" s="7">
        <v>0.928</v>
      </c>
      <c r="O414" s="8">
        <v>4493.0</v>
      </c>
      <c r="P414" s="7">
        <v>6405.51</v>
      </c>
      <c r="Q414" s="7">
        <v>4049457.0</v>
      </c>
      <c r="R414" s="7">
        <v>1.58</v>
      </c>
      <c r="S414" s="7">
        <v>10893.0</v>
      </c>
      <c r="T414" s="7">
        <v>296.41</v>
      </c>
      <c r="U414" s="7">
        <v>1729.0</v>
      </c>
      <c r="V414" s="7">
        <v>0.17</v>
      </c>
      <c r="W414" s="7">
        <v>573.0</v>
      </c>
      <c r="X414" s="7">
        <v>74.65</v>
      </c>
      <c r="Y414" s="7">
        <v>25061.0</v>
      </c>
      <c r="Z414" s="7">
        <v>2.98</v>
      </c>
      <c r="AA414" s="7">
        <v>1.0</v>
      </c>
      <c r="AB414" s="7"/>
      <c r="AC414" s="7"/>
      <c r="AD414" s="7"/>
    </row>
    <row r="415" ht="15.75" customHeight="1">
      <c r="A415" s="6">
        <v>44975.0</v>
      </c>
      <c r="B415" s="7">
        <f t="shared" si="1"/>
        <v>18</v>
      </c>
      <c r="C415" s="7">
        <f t="shared" si="2"/>
        <v>2</v>
      </c>
      <c r="D415" s="7">
        <v>13038.19</v>
      </c>
      <c r="E415" s="7">
        <v>9953.0</v>
      </c>
      <c r="F415" s="7">
        <v>20805.0</v>
      </c>
      <c r="G415" s="7">
        <v>30758.0</v>
      </c>
      <c r="H415" s="7">
        <v>949.8</v>
      </c>
      <c r="I415" s="7">
        <v>4457.0</v>
      </c>
      <c r="J415" s="7">
        <v>0.213</v>
      </c>
      <c r="K415" s="7">
        <v>3355.0</v>
      </c>
      <c r="L415" s="7">
        <v>5262.08</v>
      </c>
      <c r="M415" s="7">
        <v>6003.0</v>
      </c>
      <c r="N415" s="7">
        <v>0.877</v>
      </c>
      <c r="O415" s="8">
        <v>4871.0</v>
      </c>
      <c r="P415" s="7">
        <v>6456.98</v>
      </c>
      <c r="Q415" s="7">
        <v>4075412.0</v>
      </c>
      <c r="R415" s="7">
        <v>1.58</v>
      </c>
      <c r="S415" s="7">
        <v>12441.0</v>
      </c>
      <c r="T415" s="7">
        <v>296.83</v>
      </c>
      <c r="U415" s="7">
        <v>2402.0</v>
      </c>
      <c r="V415" s="7">
        <v>0.12</v>
      </c>
      <c r="W415" s="7">
        <v>605.0</v>
      </c>
      <c r="X415" s="7">
        <v>72.5</v>
      </c>
      <c r="Y415" s="7">
        <v>25103.0</v>
      </c>
      <c r="Z415" s="7">
        <v>2.89</v>
      </c>
      <c r="AA415" s="7">
        <v>0.0</v>
      </c>
      <c r="AB415" s="7"/>
      <c r="AC415" s="7"/>
      <c r="AD415" s="7"/>
    </row>
    <row r="416" ht="15.75" customHeight="1">
      <c r="A416" s="6">
        <v>44976.0</v>
      </c>
      <c r="B416" s="7">
        <f t="shared" si="1"/>
        <v>19</v>
      </c>
      <c r="C416" s="7">
        <f t="shared" si="2"/>
        <v>2</v>
      </c>
      <c r="D416" s="7">
        <v>14115.76</v>
      </c>
      <c r="E416" s="7">
        <v>11145.0</v>
      </c>
      <c r="F416" s="7">
        <v>25776.0</v>
      </c>
      <c r="G416" s="7">
        <v>36921.0</v>
      </c>
      <c r="H416" s="7">
        <v>1168.19</v>
      </c>
      <c r="I416" s="7">
        <v>5794.0</v>
      </c>
      <c r="J416" s="7">
        <v>0.202</v>
      </c>
      <c r="K416" s="7">
        <v>4220.0</v>
      </c>
      <c r="L416" s="7">
        <v>5638.32</v>
      </c>
      <c r="M416" s="7">
        <v>7392.0</v>
      </c>
      <c r="N416" s="7">
        <v>0.763</v>
      </c>
      <c r="O416" s="8">
        <v>5955.0</v>
      </c>
      <c r="P416" s="7">
        <v>6936.32</v>
      </c>
      <c r="Q416" s="7">
        <v>4901072.0</v>
      </c>
      <c r="R416" s="7">
        <v>1.42</v>
      </c>
      <c r="S416" s="7">
        <v>14868.0</v>
      </c>
      <c r="T416" s="7">
        <v>298.16</v>
      </c>
      <c r="U416" s="7">
        <v>2951.0</v>
      </c>
      <c r="V416" s="7">
        <v>0.1</v>
      </c>
      <c r="W416" s="7">
        <v>643.0</v>
      </c>
      <c r="X416" s="7">
        <v>74.77</v>
      </c>
      <c r="Y416" s="7">
        <v>25496.0</v>
      </c>
      <c r="Z416" s="7">
        <v>2.93</v>
      </c>
      <c r="AA416" s="7">
        <v>0.0</v>
      </c>
      <c r="AB416" s="7"/>
      <c r="AC416" s="7"/>
      <c r="AD416" s="7"/>
    </row>
    <row r="417" ht="15.75" customHeight="1">
      <c r="A417" s="6">
        <v>44977.0</v>
      </c>
      <c r="B417" s="7">
        <f t="shared" si="1"/>
        <v>20</v>
      </c>
      <c r="C417" s="7">
        <f t="shared" si="2"/>
        <v>2</v>
      </c>
      <c r="D417" s="7">
        <v>13150.19</v>
      </c>
      <c r="E417" s="7">
        <v>12046.0</v>
      </c>
      <c r="F417" s="7">
        <v>23180.0</v>
      </c>
      <c r="G417" s="7">
        <v>35226.0</v>
      </c>
      <c r="H417" s="7">
        <v>1019.51</v>
      </c>
      <c r="I417" s="7">
        <v>5486.0</v>
      </c>
      <c r="J417" s="7">
        <v>0.186</v>
      </c>
      <c r="K417" s="7">
        <v>4402.0</v>
      </c>
      <c r="L417" s="7">
        <v>5380.64</v>
      </c>
      <c r="M417" s="7">
        <v>6354.0</v>
      </c>
      <c r="N417" s="7">
        <v>0.847</v>
      </c>
      <c r="O417" s="8">
        <v>5352.0</v>
      </c>
      <c r="P417" s="7">
        <v>6428.75</v>
      </c>
      <c r="Q417" s="7">
        <v>4524962.0</v>
      </c>
      <c r="R417" s="7">
        <v>1.42</v>
      </c>
      <c r="S417" s="7">
        <v>12769.0</v>
      </c>
      <c r="T417" s="7">
        <v>246.78</v>
      </c>
      <c r="U417" s="7">
        <v>2653.0</v>
      </c>
      <c r="V417" s="7">
        <v>0.09</v>
      </c>
      <c r="W417" s="7">
        <v>662.0</v>
      </c>
      <c r="X417" s="7">
        <v>74.51</v>
      </c>
      <c r="Y417" s="7">
        <v>28049.0</v>
      </c>
      <c r="Z417" s="7">
        <v>2.66</v>
      </c>
      <c r="AA417" s="7">
        <v>0.0</v>
      </c>
      <c r="AB417" s="7"/>
      <c r="AC417" s="7"/>
      <c r="AD417" s="7"/>
    </row>
    <row r="418" ht="15.75" customHeight="1">
      <c r="A418" s="6">
        <v>44978.0</v>
      </c>
      <c r="B418" s="7">
        <f t="shared" si="1"/>
        <v>21</v>
      </c>
      <c r="C418" s="7">
        <f t="shared" si="2"/>
        <v>2</v>
      </c>
      <c r="D418" s="7">
        <v>13061.01</v>
      </c>
      <c r="E418" s="7">
        <v>11756.0</v>
      </c>
      <c r="F418" s="7">
        <v>23991.0</v>
      </c>
      <c r="G418" s="7">
        <v>35747.0</v>
      </c>
      <c r="H418" s="7">
        <v>967.59</v>
      </c>
      <c r="I418" s="7">
        <v>5164.0</v>
      </c>
      <c r="J418" s="7">
        <v>0.187</v>
      </c>
      <c r="K418" s="7">
        <v>4118.0</v>
      </c>
      <c r="L418" s="7">
        <v>5392.5</v>
      </c>
      <c r="M418" s="7">
        <v>6420.0</v>
      </c>
      <c r="N418" s="7">
        <v>0.84</v>
      </c>
      <c r="O418" s="8">
        <v>5298.0</v>
      </c>
      <c r="P418" s="7">
        <v>6330.09</v>
      </c>
      <c r="Q418" s="7">
        <v>4094305.0</v>
      </c>
      <c r="R418" s="7">
        <v>1.55</v>
      </c>
      <c r="S418" s="7">
        <v>13929.0</v>
      </c>
      <c r="T418" s="7">
        <v>296.03</v>
      </c>
      <c r="U418" s="7">
        <v>3222.0</v>
      </c>
      <c r="V418" s="7">
        <v>0.09</v>
      </c>
      <c r="W418" s="7">
        <v>786.0</v>
      </c>
      <c r="X418" s="7">
        <v>74.8</v>
      </c>
      <c r="Y418" s="7">
        <v>27501.0</v>
      </c>
      <c r="Z418" s="7">
        <v>2.72</v>
      </c>
      <c r="AA418" s="7">
        <v>2.0</v>
      </c>
      <c r="AB418" s="7"/>
      <c r="AC418" s="7"/>
      <c r="AD418" s="7"/>
    </row>
    <row r="419" ht="15.75" customHeight="1">
      <c r="A419" s="6">
        <v>44979.0</v>
      </c>
      <c r="B419" s="7">
        <f t="shared" si="1"/>
        <v>22</v>
      </c>
      <c r="C419" s="7">
        <f t="shared" si="2"/>
        <v>2</v>
      </c>
      <c r="D419" s="7">
        <v>12561.03</v>
      </c>
      <c r="E419" s="7">
        <v>11238.0</v>
      </c>
      <c r="F419" s="7">
        <v>21518.0</v>
      </c>
      <c r="G419" s="7">
        <v>32756.0</v>
      </c>
      <c r="H419" s="7">
        <v>916.19</v>
      </c>
      <c r="I419" s="7">
        <v>5032.0</v>
      </c>
      <c r="J419" s="7">
        <v>0.182</v>
      </c>
      <c r="K419" s="7">
        <v>3856.0</v>
      </c>
      <c r="L419" s="7">
        <v>5007.27</v>
      </c>
      <c r="M419" s="7">
        <v>6188.0</v>
      </c>
      <c r="N419" s="7">
        <v>0.809</v>
      </c>
      <c r="O419" s="8">
        <v>5095.0</v>
      </c>
      <c r="P419" s="7">
        <v>6269.16</v>
      </c>
      <c r="Q419" s="7">
        <v>4115702.0</v>
      </c>
      <c r="R419" s="7">
        <v>1.52</v>
      </c>
      <c r="S419" s="7">
        <v>11571.0</v>
      </c>
      <c r="T419" s="7">
        <v>293.5</v>
      </c>
      <c r="U419" s="7">
        <v>3070.0</v>
      </c>
      <c r="V419" s="7">
        <v>0.1</v>
      </c>
      <c r="W419" s="7">
        <v>1041.0</v>
      </c>
      <c r="X419" s="7">
        <v>74.91</v>
      </c>
      <c r="Y419" s="7">
        <v>19606.0</v>
      </c>
      <c r="Z419" s="7">
        <v>3.82</v>
      </c>
      <c r="AA419" s="7">
        <v>0.0</v>
      </c>
      <c r="AB419" s="7"/>
      <c r="AC419" s="7"/>
      <c r="AD419" s="7"/>
    </row>
    <row r="420" ht="15.75" customHeight="1">
      <c r="A420" s="6">
        <v>44980.0</v>
      </c>
      <c r="B420" s="7">
        <f t="shared" si="1"/>
        <v>23</v>
      </c>
      <c r="C420" s="7">
        <f t="shared" si="2"/>
        <v>2</v>
      </c>
      <c r="D420" s="7">
        <v>12505.46</v>
      </c>
      <c r="E420" s="7">
        <v>10629.0</v>
      </c>
      <c r="F420" s="7">
        <v>19544.0</v>
      </c>
      <c r="G420" s="7">
        <v>30173.0</v>
      </c>
      <c r="H420" s="7">
        <v>794.48</v>
      </c>
      <c r="I420" s="7">
        <v>4768.0</v>
      </c>
      <c r="J420" s="7">
        <v>0.167</v>
      </c>
      <c r="K420" s="7">
        <v>3803.0</v>
      </c>
      <c r="L420" s="7">
        <v>4998.09</v>
      </c>
      <c r="M420" s="7">
        <v>6005.0</v>
      </c>
      <c r="N420" s="7">
        <v>0.832</v>
      </c>
      <c r="O420" s="8">
        <v>4962.0</v>
      </c>
      <c r="P420" s="7">
        <v>6342.37</v>
      </c>
      <c r="Q420" s="7">
        <v>4176770.0</v>
      </c>
      <c r="R420" s="7">
        <v>1.52</v>
      </c>
      <c r="S420" s="7">
        <v>10207.0</v>
      </c>
      <c r="T420" s="7">
        <v>293.12</v>
      </c>
      <c r="U420" s="7">
        <v>3176.0</v>
      </c>
      <c r="V420" s="7">
        <v>0.09</v>
      </c>
      <c r="W420" s="7">
        <v>957.0</v>
      </c>
      <c r="X420" s="7">
        <v>77.4</v>
      </c>
      <c r="Y420" s="7">
        <v>24253.0</v>
      </c>
      <c r="Z420" s="7">
        <v>3.19</v>
      </c>
      <c r="AA420" s="7">
        <v>0.0</v>
      </c>
      <c r="AB420" s="7"/>
      <c r="AC420" s="7"/>
      <c r="AD420" s="7"/>
    </row>
    <row r="421" ht="15.75" customHeight="1">
      <c r="A421" s="6">
        <v>44981.0</v>
      </c>
      <c r="B421" s="7">
        <f t="shared" si="1"/>
        <v>24</v>
      </c>
      <c r="C421" s="7">
        <f t="shared" si="2"/>
        <v>2</v>
      </c>
      <c r="D421" s="7">
        <v>13051.39</v>
      </c>
      <c r="E421" s="7">
        <v>8441.0</v>
      </c>
      <c r="F421" s="7">
        <v>15915.0</v>
      </c>
      <c r="G421" s="7">
        <v>24356.0</v>
      </c>
      <c r="H421" s="7">
        <v>810.83</v>
      </c>
      <c r="I421" s="7">
        <v>4571.0</v>
      </c>
      <c r="J421" s="7">
        <v>0.177</v>
      </c>
      <c r="K421" s="7">
        <v>3066.0</v>
      </c>
      <c r="L421" s="7">
        <v>5462.56</v>
      </c>
      <c r="M421" s="7">
        <v>5935.0</v>
      </c>
      <c r="N421" s="7">
        <v>0.92</v>
      </c>
      <c r="O421" s="8">
        <v>3975.0</v>
      </c>
      <c r="P421" s="7">
        <v>6444.44</v>
      </c>
      <c r="Q421" s="7">
        <v>4226298.0</v>
      </c>
      <c r="R421" s="7">
        <v>1.52</v>
      </c>
      <c r="S421" s="7">
        <v>8032.0</v>
      </c>
      <c r="T421" s="7">
        <v>260.17</v>
      </c>
      <c r="U421" s="7">
        <v>2467.0</v>
      </c>
      <c r="V421" s="7">
        <v>0.11</v>
      </c>
      <c r="W421" s="7">
        <v>696.0</v>
      </c>
      <c r="X421" s="7">
        <v>73.39</v>
      </c>
      <c r="Y421" s="7">
        <v>24932.0</v>
      </c>
      <c r="Z421" s="7">
        <v>2.94</v>
      </c>
      <c r="AA421" s="7">
        <v>1.0</v>
      </c>
      <c r="AB421" s="7"/>
      <c r="AC421" s="7"/>
      <c r="AD421" s="7"/>
    </row>
    <row r="422" ht="15.75" customHeight="1">
      <c r="A422" s="6">
        <v>44982.0</v>
      </c>
      <c r="B422" s="7">
        <f t="shared" si="1"/>
        <v>25</v>
      </c>
      <c r="C422" s="7">
        <f t="shared" si="2"/>
        <v>2</v>
      </c>
      <c r="D422" s="7">
        <v>14040.99</v>
      </c>
      <c r="E422" s="7">
        <v>7238.0</v>
      </c>
      <c r="F422" s="7">
        <v>15764.0</v>
      </c>
      <c r="G422" s="7">
        <v>23002.0</v>
      </c>
      <c r="H422" s="7">
        <v>926.16</v>
      </c>
      <c r="I422" s="7">
        <v>4884.0</v>
      </c>
      <c r="J422" s="7">
        <v>0.19</v>
      </c>
      <c r="K422" s="7">
        <v>2838.0</v>
      </c>
      <c r="L422" s="7">
        <v>5918.51</v>
      </c>
      <c r="M422" s="7">
        <v>6844.0</v>
      </c>
      <c r="N422" s="7">
        <v>0.865</v>
      </c>
      <c r="O422" s="8">
        <v>3718.0</v>
      </c>
      <c r="P422" s="7">
        <v>6882.3</v>
      </c>
      <c r="Q422" s="7">
        <v>4508090.0</v>
      </c>
      <c r="R422" s="7">
        <v>1.53</v>
      </c>
      <c r="S422" s="7">
        <v>8182.0</v>
      </c>
      <c r="T422" s="7">
        <v>242.73</v>
      </c>
      <c r="U422" s="7">
        <v>3675.0</v>
      </c>
      <c r="V422" s="7">
        <v>0.07</v>
      </c>
      <c r="W422" s="7">
        <v>865.0</v>
      </c>
      <c r="X422" s="7">
        <v>71.29</v>
      </c>
      <c r="Y422" s="7">
        <v>25685.0</v>
      </c>
      <c r="Z422" s="7">
        <v>2.78</v>
      </c>
      <c r="AA422" s="7">
        <v>1.0</v>
      </c>
      <c r="AB422" s="7"/>
      <c r="AC422" s="7"/>
      <c r="AD422" s="7"/>
    </row>
    <row r="423" ht="15.75" customHeight="1">
      <c r="A423" s="6">
        <v>44983.0</v>
      </c>
      <c r="B423" s="7">
        <f t="shared" si="1"/>
        <v>26</v>
      </c>
      <c r="C423" s="7">
        <f t="shared" si="2"/>
        <v>2</v>
      </c>
      <c r="D423" s="7">
        <v>15135.32</v>
      </c>
      <c r="E423" s="7">
        <v>9426.0</v>
      </c>
      <c r="F423" s="7">
        <v>19902.0</v>
      </c>
      <c r="G423" s="7">
        <v>29328.0</v>
      </c>
      <c r="H423" s="7">
        <v>1187.01</v>
      </c>
      <c r="I423" s="7">
        <v>6906.0</v>
      </c>
      <c r="J423" s="7">
        <v>0.172</v>
      </c>
      <c r="K423" s="7">
        <v>3889.0</v>
      </c>
      <c r="L423" s="7">
        <v>6160.07</v>
      </c>
      <c r="M423" s="7">
        <v>8406.0</v>
      </c>
      <c r="N423" s="7">
        <v>0.733</v>
      </c>
      <c r="O423" s="8">
        <v>4748.0</v>
      </c>
      <c r="P423" s="7">
        <v>7479.58</v>
      </c>
      <c r="Q423" s="7">
        <v>5135240.0</v>
      </c>
      <c r="R423" s="7">
        <v>1.46</v>
      </c>
      <c r="S423" s="7">
        <v>9880.0</v>
      </c>
      <c r="T423" s="7">
        <v>235.82</v>
      </c>
      <c r="U423" s="7">
        <v>2355.0</v>
      </c>
      <c r="V423" s="7">
        <v>0.1</v>
      </c>
      <c r="W423" s="7">
        <v>789.0</v>
      </c>
      <c r="X423" s="7">
        <v>72.84</v>
      </c>
      <c r="Y423" s="7">
        <v>30364.0</v>
      </c>
      <c r="Z423" s="7">
        <v>2.4</v>
      </c>
      <c r="AA423" s="7">
        <v>0.0</v>
      </c>
      <c r="AB423" s="7"/>
      <c r="AC423" s="7"/>
      <c r="AD423" s="7"/>
    </row>
    <row r="424" ht="15.75" customHeight="1">
      <c r="A424" s="6">
        <v>44984.0</v>
      </c>
      <c r="B424" s="7">
        <f t="shared" si="1"/>
        <v>27</v>
      </c>
      <c r="C424" s="7">
        <f t="shared" si="2"/>
        <v>2</v>
      </c>
      <c r="D424" s="7">
        <v>11459.2</v>
      </c>
      <c r="E424" s="7">
        <v>8617.0</v>
      </c>
      <c r="F424" s="7">
        <v>13812.0</v>
      </c>
      <c r="G424" s="7">
        <v>22429.0</v>
      </c>
      <c r="H424" s="7">
        <v>1077.49</v>
      </c>
      <c r="I424" s="7">
        <v>5321.0</v>
      </c>
      <c r="J424" s="7">
        <v>0.202</v>
      </c>
      <c r="K424" s="7">
        <v>3318.0</v>
      </c>
      <c r="L424" s="7">
        <v>4513.15</v>
      </c>
      <c r="M424" s="7">
        <v>5439.0</v>
      </c>
      <c r="N424" s="7">
        <v>0.83</v>
      </c>
      <c r="O424" s="8">
        <v>3108.0</v>
      </c>
      <c r="P424" s="7">
        <v>5648.42</v>
      </c>
      <c r="Q424" s="7">
        <v>3837767.0</v>
      </c>
      <c r="R424" s="7">
        <v>1.47</v>
      </c>
      <c r="S424" s="7">
        <v>7066.0</v>
      </c>
      <c r="T424" s="7">
        <v>204.76</v>
      </c>
      <c r="U424" s="7">
        <v>1875.0</v>
      </c>
      <c r="V424" s="7">
        <v>0.11</v>
      </c>
      <c r="W424" s="7">
        <v>556.0</v>
      </c>
      <c r="X424" s="7">
        <v>15.38</v>
      </c>
      <c r="Y424" s="7">
        <v>6728.0</v>
      </c>
      <c r="Z424" s="7">
        <v>2.29</v>
      </c>
      <c r="AA424" s="7">
        <v>0.0</v>
      </c>
      <c r="AB424" s="7"/>
      <c r="AC424" s="7"/>
      <c r="AD424" s="7"/>
    </row>
    <row r="425" ht="15.75" customHeight="1">
      <c r="A425" s="6">
        <v>44985.0</v>
      </c>
      <c r="B425" s="7">
        <f t="shared" si="1"/>
        <v>28</v>
      </c>
      <c r="C425" s="7">
        <f t="shared" si="2"/>
        <v>2</v>
      </c>
      <c r="D425" s="7">
        <v>9932.97</v>
      </c>
      <c r="E425" s="7">
        <v>8135.0</v>
      </c>
      <c r="F425" s="7">
        <v>13022.0</v>
      </c>
      <c r="G425" s="7">
        <v>21157.0</v>
      </c>
      <c r="H425" s="7">
        <v>961.91</v>
      </c>
      <c r="I425" s="7">
        <v>5298.0</v>
      </c>
      <c r="J425" s="7">
        <v>0.182</v>
      </c>
      <c r="K425" s="7">
        <v>3278.0</v>
      </c>
      <c r="L425" s="7">
        <v>4081.09</v>
      </c>
      <c r="M425" s="7">
        <v>5155.0</v>
      </c>
      <c r="N425" s="7">
        <v>0.792</v>
      </c>
      <c r="O425" s="8">
        <v>2919.0</v>
      </c>
      <c r="P425" s="7">
        <v>4749.01</v>
      </c>
      <c r="Q425" s="7">
        <v>3188214.0</v>
      </c>
      <c r="R425" s="7">
        <v>1.49</v>
      </c>
      <c r="S425" s="7">
        <v>6429.0</v>
      </c>
      <c r="T425" s="7">
        <v>140.96</v>
      </c>
      <c r="U425" s="7">
        <v>1715.0</v>
      </c>
      <c r="V425" s="7">
        <v>0.08</v>
      </c>
      <c r="W425" s="7">
        <v>577.0</v>
      </c>
      <c r="X425" s="7">
        <v>0.0</v>
      </c>
      <c r="Y425" s="7">
        <v>0.0</v>
      </c>
      <c r="Z425" s="7">
        <v>0.0</v>
      </c>
      <c r="AA425" s="7">
        <v>0.0</v>
      </c>
      <c r="AB425" s="7"/>
      <c r="AC425" s="7"/>
      <c r="AD425" s="7"/>
    </row>
    <row r="426" ht="15.75" customHeight="1">
      <c r="A426" s="6">
        <v>44986.0</v>
      </c>
      <c r="B426" s="7">
        <f t="shared" si="1"/>
        <v>1</v>
      </c>
      <c r="C426" s="7">
        <f t="shared" si="2"/>
        <v>3</v>
      </c>
      <c r="D426" s="7">
        <v>10602.71</v>
      </c>
      <c r="E426" s="7">
        <v>7857.0</v>
      </c>
      <c r="F426" s="7">
        <v>13391.0</v>
      </c>
      <c r="G426" s="7">
        <v>21248.0</v>
      </c>
      <c r="H426" s="7">
        <v>949.51</v>
      </c>
      <c r="I426" s="7">
        <v>5208.0</v>
      </c>
      <c r="J426" s="7">
        <v>0.182</v>
      </c>
      <c r="K426" s="7">
        <v>3011.0</v>
      </c>
      <c r="L426" s="7">
        <v>4259.35</v>
      </c>
      <c r="M426" s="7">
        <v>5203.0</v>
      </c>
      <c r="N426" s="7">
        <v>0.819</v>
      </c>
      <c r="O426" s="8">
        <v>2852.0</v>
      </c>
      <c r="P426" s="7">
        <v>5155.59</v>
      </c>
      <c r="Q426" s="7">
        <v>3445934.0</v>
      </c>
      <c r="R426" s="7">
        <v>1.5</v>
      </c>
      <c r="S426" s="7">
        <v>6899.0</v>
      </c>
      <c r="T426" s="7">
        <v>238.26</v>
      </c>
      <c r="U426" s="7">
        <v>2922.0</v>
      </c>
      <c r="V426" s="7">
        <v>0.08</v>
      </c>
      <c r="W426" s="7">
        <v>721.0</v>
      </c>
      <c r="X426" s="7">
        <v>0.0</v>
      </c>
      <c r="Y426" s="7">
        <v>0.0</v>
      </c>
      <c r="Z426" s="7">
        <v>0.0</v>
      </c>
      <c r="AA426" s="7">
        <v>2.0</v>
      </c>
      <c r="AB426" s="7"/>
      <c r="AC426" s="7"/>
      <c r="AD426" s="7"/>
    </row>
    <row r="427" ht="15.75" customHeight="1">
      <c r="A427" s="6">
        <v>44987.0</v>
      </c>
      <c r="B427" s="7">
        <f t="shared" si="1"/>
        <v>2</v>
      </c>
      <c r="C427" s="7">
        <f t="shared" si="2"/>
        <v>3</v>
      </c>
      <c r="D427" s="7">
        <v>10429.39</v>
      </c>
      <c r="E427" s="7">
        <v>7555.0</v>
      </c>
      <c r="F427" s="7">
        <v>13440.0</v>
      </c>
      <c r="G427" s="7">
        <v>20995.0</v>
      </c>
      <c r="H427" s="7">
        <v>889.21</v>
      </c>
      <c r="I427" s="7">
        <v>4918.0</v>
      </c>
      <c r="J427" s="7">
        <v>0.181</v>
      </c>
      <c r="K427" s="7">
        <v>3097.0</v>
      </c>
      <c r="L427" s="7">
        <v>3884.38</v>
      </c>
      <c r="M427" s="7">
        <v>4544.0</v>
      </c>
      <c r="N427" s="7">
        <v>0.855</v>
      </c>
      <c r="O427" s="8">
        <v>2672.0</v>
      </c>
      <c r="P427" s="7">
        <v>5502.77</v>
      </c>
      <c r="Q427" s="7">
        <v>3400407.0</v>
      </c>
      <c r="R427" s="7">
        <v>1.62</v>
      </c>
      <c r="S427" s="7">
        <v>7044.0</v>
      </c>
      <c r="T427" s="7">
        <v>153.03</v>
      </c>
      <c r="U427" s="7">
        <v>2018.0</v>
      </c>
      <c r="V427" s="7">
        <v>0.08</v>
      </c>
      <c r="W427" s="7">
        <v>569.0</v>
      </c>
      <c r="X427" s="7">
        <v>0.0</v>
      </c>
      <c r="Y427" s="7">
        <v>0.0</v>
      </c>
      <c r="Z427" s="7">
        <v>0.0</v>
      </c>
      <c r="AA427" s="7">
        <v>0.0</v>
      </c>
      <c r="AB427" s="7"/>
      <c r="AC427" s="7"/>
      <c r="AD427" s="7"/>
    </row>
    <row r="428" ht="15.75" customHeight="1">
      <c r="A428" s="6">
        <v>44988.0</v>
      </c>
      <c r="B428" s="7">
        <f t="shared" si="1"/>
        <v>3</v>
      </c>
      <c r="C428" s="7">
        <f t="shared" si="2"/>
        <v>3</v>
      </c>
      <c r="D428" s="7">
        <v>10406.81</v>
      </c>
      <c r="E428" s="7">
        <v>7475.0</v>
      </c>
      <c r="F428" s="7">
        <v>12309.0</v>
      </c>
      <c r="G428" s="7">
        <v>19784.0</v>
      </c>
      <c r="H428" s="7">
        <v>764.77</v>
      </c>
      <c r="I428" s="7">
        <v>4909.0</v>
      </c>
      <c r="J428" s="7">
        <v>0.156</v>
      </c>
      <c r="K428" s="7">
        <v>2928.0</v>
      </c>
      <c r="L428" s="7">
        <v>3580.73</v>
      </c>
      <c r="M428" s="7">
        <v>4055.0</v>
      </c>
      <c r="N428" s="7">
        <v>0.883</v>
      </c>
      <c r="O428" s="8">
        <v>2410.0</v>
      </c>
      <c r="P428" s="7">
        <v>5843.93</v>
      </c>
      <c r="Q428" s="7">
        <v>3439158.0</v>
      </c>
      <c r="R428" s="7">
        <v>1.7</v>
      </c>
      <c r="S428" s="7">
        <v>6436.0</v>
      </c>
      <c r="T428" s="7">
        <v>217.38</v>
      </c>
      <c r="U428" s="7">
        <v>2973.0</v>
      </c>
      <c r="V428" s="7">
        <v>0.07</v>
      </c>
      <c r="W428" s="7">
        <v>662.0</v>
      </c>
      <c r="X428" s="7">
        <v>0.0</v>
      </c>
      <c r="Y428" s="7">
        <v>0.0</v>
      </c>
      <c r="Z428" s="7">
        <v>0.0</v>
      </c>
      <c r="AA428" s="7">
        <v>1.0</v>
      </c>
      <c r="AB428" s="7"/>
      <c r="AC428" s="7"/>
      <c r="AD428" s="7"/>
    </row>
    <row r="429" ht="15.75" customHeight="1">
      <c r="A429" s="6">
        <v>44989.0</v>
      </c>
      <c r="B429" s="7">
        <f t="shared" si="1"/>
        <v>4</v>
      </c>
      <c r="C429" s="7">
        <f t="shared" si="2"/>
        <v>3</v>
      </c>
      <c r="D429" s="7">
        <v>10437.96</v>
      </c>
      <c r="E429" s="7">
        <v>7221.0</v>
      </c>
      <c r="F429" s="7">
        <v>13722.0</v>
      </c>
      <c r="G429" s="7">
        <v>20943.0</v>
      </c>
      <c r="H429" s="7">
        <v>751.96</v>
      </c>
      <c r="I429" s="7">
        <v>5350.0</v>
      </c>
      <c r="J429" s="7">
        <v>0.141</v>
      </c>
      <c r="K429" s="7">
        <v>3194.0</v>
      </c>
      <c r="L429" s="7">
        <v>3525.66</v>
      </c>
      <c r="M429" s="7">
        <v>4203.0</v>
      </c>
      <c r="N429" s="7">
        <v>0.839</v>
      </c>
      <c r="O429" s="8">
        <v>2397.0</v>
      </c>
      <c r="P429" s="7">
        <v>6037.33</v>
      </c>
      <c r="Q429" s="7">
        <v>3691989.0</v>
      </c>
      <c r="R429" s="7">
        <v>1.64</v>
      </c>
      <c r="S429" s="7">
        <v>7430.0</v>
      </c>
      <c r="T429" s="7">
        <v>123.01</v>
      </c>
      <c r="U429" s="7">
        <v>1906.0</v>
      </c>
      <c r="V429" s="7">
        <v>0.06</v>
      </c>
      <c r="W429" s="7">
        <v>462.0</v>
      </c>
      <c r="X429" s="7">
        <v>0.0</v>
      </c>
      <c r="Y429" s="7">
        <v>0.0</v>
      </c>
      <c r="Z429" s="7">
        <v>0.0</v>
      </c>
      <c r="AA429" s="7">
        <v>0.0</v>
      </c>
      <c r="AB429" s="7"/>
      <c r="AC429" s="7"/>
      <c r="AD429" s="7"/>
    </row>
    <row r="430" ht="15.75" customHeight="1">
      <c r="A430" s="6">
        <v>44990.0</v>
      </c>
      <c r="B430" s="7">
        <f t="shared" si="1"/>
        <v>5</v>
      </c>
      <c r="C430" s="7">
        <f t="shared" si="2"/>
        <v>3</v>
      </c>
      <c r="D430" s="7">
        <v>12264.85</v>
      </c>
      <c r="E430" s="7">
        <v>9154.0</v>
      </c>
      <c r="F430" s="7">
        <v>16461.0</v>
      </c>
      <c r="G430" s="7">
        <v>25615.0</v>
      </c>
      <c r="H430" s="7">
        <v>822.71</v>
      </c>
      <c r="I430" s="7">
        <v>6640.0</v>
      </c>
      <c r="J430" s="7">
        <v>0.124</v>
      </c>
      <c r="K430" s="7">
        <v>3877.0</v>
      </c>
      <c r="L430" s="7">
        <v>5074.51</v>
      </c>
      <c r="M430" s="7">
        <v>6148.0</v>
      </c>
      <c r="N430" s="7">
        <v>0.825</v>
      </c>
      <c r="O430" s="8">
        <v>3394.0</v>
      </c>
      <c r="P430" s="7">
        <v>6169.45</v>
      </c>
      <c r="Q430" s="7">
        <v>4014711.0</v>
      </c>
      <c r="R430" s="7">
        <v>1.54</v>
      </c>
      <c r="S430" s="7">
        <v>8596.0</v>
      </c>
      <c r="T430" s="7">
        <v>198.18</v>
      </c>
      <c r="U430" s="7">
        <v>4017.0</v>
      </c>
      <c r="V430" s="7">
        <v>0.05</v>
      </c>
      <c r="W430" s="7">
        <v>768.0</v>
      </c>
      <c r="X430" s="7">
        <v>0.0</v>
      </c>
      <c r="Y430" s="7">
        <v>0.0</v>
      </c>
      <c r="Z430" s="7">
        <v>0.0</v>
      </c>
      <c r="AA430" s="7">
        <v>0.0</v>
      </c>
      <c r="AB430" s="7"/>
      <c r="AC430" s="7"/>
      <c r="AD430" s="7"/>
    </row>
    <row r="431" ht="15.75" customHeight="1">
      <c r="A431" s="6">
        <v>44991.0</v>
      </c>
      <c r="B431" s="7">
        <f t="shared" si="1"/>
        <v>6</v>
      </c>
      <c r="C431" s="7">
        <f t="shared" si="2"/>
        <v>3</v>
      </c>
      <c r="D431" s="7">
        <v>12148.03</v>
      </c>
      <c r="E431" s="7">
        <v>8503.0</v>
      </c>
      <c r="F431" s="7">
        <v>15161.0</v>
      </c>
      <c r="G431" s="7">
        <v>23664.0</v>
      </c>
      <c r="H431" s="7">
        <v>811.99</v>
      </c>
      <c r="I431" s="7">
        <v>5903.0</v>
      </c>
      <c r="J431" s="7">
        <v>0.138</v>
      </c>
      <c r="K431" s="7">
        <v>3697.0</v>
      </c>
      <c r="L431" s="7">
        <v>5300.17</v>
      </c>
      <c r="M431" s="7">
        <v>6150.0</v>
      </c>
      <c r="N431" s="7">
        <v>0.862</v>
      </c>
      <c r="O431" s="8">
        <v>3231.0</v>
      </c>
      <c r="P431" s="7">
        <v>5749.4</v>
      </c>
      <c r="Q431" s="7">
        <v>3932658.0</v>
      </c>
      <c r="R431" s="7">
        <v>1.46</v>
      </c>
      <c r="S431" s="7">
        <v>7441.0</v>
      </c>
      <c r="T431" s="7">
        <v>208.57</v>
      </c>
      <c r="U431" s="7">
        <v>2756.0</v>
      </c>
      <c r="V431" s="7">
        <v>0.08</v>
      </c>
      <c r="W431" s="7">
        <v>901.0</v>
      </c>
      <c r="X431" s="7">
        <v>77.9</v>
      </c>
      <c r="Y431" s="7">
        <v>77261.0</v>
      </c>
      <c r="Z431" s="7">
        <v>1.01</v>
      </c>
      <c r="AA431" s="7">
        <v>29.0</v>
      </c>
      <c r="AB431" s="7"/>
      <c r="AC431" s="7"/>
      <c r="AD431" s="7"/>
    </row>
    <row r="432" ht="15.75" customHeight="1">
      <c r="A432" s="6">
        <v>44992.0</v>
      </c>
      <c r="B432" s="7">
        <f t="shared" si="1"/>
        <v>7</v>
      </c>
      <c r="C432" s="7">
        <f t="shared" si="2"/>
        <v>3</v>
      </c>
      <c r="D432" s="7">
        <v>11951.41</v>
      </c>
      <c r="E432" s="7">
        <v>9297.0</v>
      </c>
      <c r="F432" s="7">
        <v>16517.0</v>
      </c>
      <c r="G432" s="7">
        <v>25814.0</v>
      </c>
      <c r="H432" s="7">
        <v>685.44</v>
      </c>
      <c r="I432" s="7">
        <v>5965.0</v>
      </c>
      <c r="J432" s="7">
        <v>0.115</v>
      </c>
      <c r="K432" s="7">
        <v>3704.0</v>
      </c>
      <c r="L432" s="7">
        <v>4699.58</v>
      </c>
      <c r="M432" s="7">
        <v>6235.0</v>
      </c>
      <c r="N432" s="7">
        <v>0.754</v>
      </c>
      <c r="O432" s="8">
        <v>3486.0</v>
      </c>
      <c r="P432" s="7">
        <v>6167.58</v>
      </c>
      <c r="Q432" s="7">
        <v>3885419.0</v>
      </c>
      <c r="R432" s="7">
        <v>1.59</v>
      </c>
      <c r="S432" s="7">
        <v>8320.0</v>
      </c>
      <c r="T432" s="7">
        <v>199.71</v>
      </c>
      <c r="U432" s="7">
        <v>2463.0</v>
      </c>
      <c r="V432" s="7">
        <v>0.08</v>
      </c>
      <c r="W432" s="7">
        <v>720.0</v>
      </c>
      <c r="X432" s="7">
        <v>199.1</v>
      </c>
      <c r="Y432" s="7">
        <v>167658.0</v>
      </c>
      <c r="Z432" s="7">
        <v>1.19</v>
      </c>
      <c r="AA432" s="7">
        <v>63.0</v>
      </c>
      <c r="AB432" s="7"/>
      <c r="AC432" s="7"/>
      <c r="AD432" s="7"/>
    </row>
    <row r="433" ht="15.75" customHeight="1">
      <c r="A433" s="6">
        <v>44993.0</v>
      </c>
      <c r="B433" s="7">
        <f t="shared" si="1"/>
        <v>8</v>
      </c>
      <c r="C433" s="7">
        <f t="shared" si="2"/>
        <v>3</v>
      </c>
      <c r="D433" s="7">
        <v>12126.57</v>
      </c>
      <c r="E433" s="7">
        <v>8620.0</v>
      </c>
      <c r="F433" s="7">
        <v>15071.0</v>
      </c>
      <c r="G433" s="7">
        <v>23691.0</v>
      </c>
      <c r="H433" s="7">
        <v>703.42</v>
      </c>
      <c r="I433" s="7">
        <v>5525.0</v>
      </c>
      <c r="J433" s="7">
        <v>0.127</v>
      </c>
      <c r="K433" s="7">
        <v>3368.0</v>
      </c>
      <c r="L433" s="7">
        <v>4835.4</v>
      </c>
      <c r="M433" s="7">
        <v>6257.0</v>
      </c>
      <c r="N433" s="7">
        <v>0.773</v>
      </c>
      <c r="O433" s="8">
        <v>3353.0</v>
      </c>
      <c r="P433" s="7">
        <v>6150.83</v>
      </c>
      <c r="Q433" s="7">
        <v>3977418.0</v>
      </c>
      <c r="R433" s="7">
        <v>1.55</v>
      </c>
      <c r="S433" s="7">
        <v>7204.0</v>
      </c>
      <c r="T433" s="7">
        <v>212.91</v>
      </c>
      <c r="U433" s="7">
        <v>2910.0</v>
      </c>
      <c r="V433" s="7">
        <v>0.07</v>
      </c>
      <c r="W433" s="7">
        <v>765.0</v>
      </c>
      <c r="X433" s="7">
        <v>224.01</v>
      </c>
      <c r="Y433" s="7">
        <v>174734.0</v>
      </c>
      <c r="Z433" s="7">
        <v>1.28</v>
      </c>
      <c r="AA433" s="7">
        <v>84.0</v>
      </c>
      <c r="AB433" s="7"/>
      <c r="AC433" s="7"/>
      <c r="AD433" s="7"/>
    </row>
    <row r="434" ht="15.75" customHeight="1">
      <c r="A434" s="6">
        <v>44994.0</v>
      </c>
      <c r="B434" s="7">
        <f t="shared" si="1"/>
        <v>9</v>
      </c>
      <c r="C434" s="7">
        <f t="shared" si="2"/>
        <v>3</v>
      </c>
      <c r="D434" s="7">
        <v>12992.84</v>
      </c>
      <c r="E434" s="7">
        <v>8838.0</v>
      </c>
      <c r="F434" s="7">
        <v>16142.0</v>
      </c>
      <c r="G434" s="7">
        <v>24980.0</v>
      </c>
      <c r="H434" s="7">
        <v>715.19</v>
      </c>
      <c r="I434" s="7">
        <v>5789.0</v>
      </c>
      <c r="J434" s="7">
        <v>0.124</v>
      </c>
      <c r="K434" s="7">
        <v>3560.0</v>
      </c>
      <c r="L434" s="7">
        <v>5318.25</v>
      </c>
      <c r="M434" s="7">
        <v>6558.0</v>
      </c>
      <c r="N434" s="7">
        <v>0.811</v>
      </c>
      <c r="O434" s="8">
        <v>3726.0</v>
      </c>
      <c r="P434" s="7">
        <v>6405.55</v>
      </c>
      <c r="Q434" s="7">
        <v>4070297.0</v>
      </c>
      <c r="R434" s="7">
        <v>1.57</v>
      </c>
      <c r="S434" s="7">
        <v>7782.0</v>
      </c>
      <c r="T434" s="7">
        <v>285.39</v>
      </c>
      <c r="U434" s="7">
        <v>2752.0</v>
      </c>
      <c r="V434" s="7">
        <v>0.1</v>
      </c>
      <c r="W434" s="7">
        <v>770.0</v>
      </c>
      <c r="X434" s="7">
        <v>268.46</v>
      </c>
      <c r="Y434" s="7">
        <v>242820.0</v>
      </c>
      <c r="Z434" s="7">
        <v>1.11</v>
      </c>
      <c r="AA434" s="7">
        <v>106.0</v>
      </c>
      <c r="AB434" s="7"/>
      <c r="AC434" s="7"/>
      <c r="AD434" s="7"/>
    </row>
    <row r="435" ht="15.75" customHeight="1">
      <c r="A435" s="6">
        <v>44995.0</v>
      </c>
      <c r="B435" s="7">
        <f t="shared" si="1"/>
        <v>10</v>
      </c>
      <c r="C435" s="7">
        <f t="shared" si="2"/>
        <v>3</v>
      </c>
      <c r="D435" s="7">
        <v>14326.53</v>
      </c>
      <c r="E435" s="7">
        <v>12353.0</v>
      </c>
      <c r="F435" s="7">
        <v>13954.0</v>
      </c>
      <c r="G435" s="7">
        <v>26307.0</v>
      </c>
      <c r="H435" s="7">
        <v>738.79</v>
      </c>
      <c r="I435" s="7">
        <v>5784.0</v>
      </c>
      <c r="J435" s="7">
        <v>0.128</v>
      </c>
      <c r="K435" s="7">
        <v>2845.0</v>
      </c>
      <c r="L435" s="7">
        <v>4923.71</v>
      </c>
      <c r="M435" s="7">
        <v>5920.0</v>
      </c>
      <c r="N435" s="7">
        <v>0.832</v>
      </c>
      <c r="O435" s="8">
        <v>3060.0</v>
      </c>
      <c r="P435" s="7">
        <v>8132.8</v>
      </c>
      <c r="Q435" s="7">
        <v>4622961.0</v>
      </c>
      <c r="R435" s="7">
        <v>1.76</v>
      </c>
      <c r="S435" s="7">
        <v>7206.0</v>
      </c>
      <c r="T435" s="7">
        <v>254.18</v>
      </c>
      <c r="U435" s="7">
        <v>2245.0</v>
      </c>
      <c r="V435" s="7">
        <v>0.11</v>
      </c>
      <c r="W435" s="7">
        <v>618.0</v>
      </c>
      <c r="X435" s="7">
        <v>277.05</v>
      </c>
      <c r="Y435" s="7">
        <v>233899.0</v>
      </c>
      <c r="Z435" s="7">
        <v>1.18</v>
      </c>
      <c r="AA435" s="7">
        <v>83.0</v>
      </c>
      <c r="AB435" s="7"/>
      <c r="AC435" s="7"/>
      <c r="AD435" s="7"/>
    </row>
    <row r="436" ht="15.75" customHeight="1">
      <c r="A436" s="6">
        <v>44996.0</v>
      </c>
      <c r="B436" s="7">
        <f t="shared" si="1"/>
        <v>11</v>
      </c>
      <c r="C436" s="7">
        <f t="shared" si="2"/>
        <v>3</v>
      </c>
      <c r="D436" s="7">
        <v>15292.07</v>
      </c>
      <c r="E436" s="7">
        <v>8632.0</v>
      </c>
      <c r="F436" s="7">
        <v>18241.0</v>
      </c>
      <c r="G436" s="7">
        <v>26873.0</v>
      </c>
      <c r="H436" s="7">
        <v>790.39</v>
      </c>
      <c r="I436" s="7">
        <v>6018.0</v>
      </c>
      <c r="J436" s="7">
        <v>0.131</v>
      </c>
      <c r="K436" s="7">
        <v>3672.0</v>
      </c>
      <c r="L436" s="7">
        <v>5106.3</v>
      </c>
      <c r="M436" s="7">
        <v>6572.0</v>
      </c>
      <c r="N436" s="7">
        <v>0.777</v>
      </c>
      <c r="O436" s="8">
        <v>3840.0</v>
      </c>
      <c r="P436" s="7">
        <v>8770.1</v>
      </c>
      <c r="Q436" s="7">
        <v>4932905.0</v>
      </c>
      <c r="R436" s="7">
        <v>1.78</v>
      </c>
      <c r="S436" s="7">
        <v>9839.0</v>
      </c>
      <c r="T436" s="7">
        <v>263.31</v>
      </c>
      <c r="U436" s="7">
        <v>3739.0</v>
      </c>
      <c r="V436" s="7">
        <v>0.07</v>
      </c>
      <c r="W436" s="7">
        <v>706.0</v>
      </c>
      <c r="X436" s="7">
        <v>361.97</v>
      </c>
      <c r="Y436" s="7">
        <v>322892.0</v>
      </c>
      <c r="Z436" s="7">
        <v>1.12</v>
      </c>
      <c r="AA436" s="7">
        <v>246.0</v>
      </c>
      <c r="AB436" s="7"/>
      <c r="AC436" s="7"/>
      <c r="AD436" s="7"/>
    </row>
    <row r="437" ht="15.75" customHeight="1">
      <c r="A437" s="6">
        <v>44997.0</v>
      </c>
      <c r="B437" s="7">
        <f t="shared" si="1"/>
        <v>12</v>
      </c>
      <c r="C437" s="7">
        <f t="shared" si="2"/>
        <v>3</v>
      </c>
      <c r="D437" s="7">
        <v>16231.44</v>
      </c>
      <c r="E437" s="7">
        <v>9928.0</v>
      </c>
      <c r="F437" s="7">
        <v>21077.0</v>
      </c>
      <c r="G437" s="7">
        <v>31005.0</v>
      </c>
      <c r="H437" s="7">
        <v>955.94</v>
      </c>
      <c r="I437" s="7">
        <v>7418.0</v>
      </c>
      <c r="J437" s="7">
        <v>0.129</v>
      </c>
      <c r="K437" s="7">
        <v>4428.0</v>
      </c>
      <c r="L437" s="7">
        <v>5527.7</v>
      </c>
      <c r="M437" s="7">
        <v>7978.0</v>
      </c>
      <c r="N437" s="7">
        <v>0.693</v>
      </c>
      <c r="O437" s="8">
        <v>4499.0</v>
      </c>
      <c r="P437" s="7">
        <v>9156.29</v>
      </c>
      <c r="Q437" s="7">
        <v>5614206.0</v>
      </c>
      <c r="R437" s="7">
        <v>1.63</v>
      </c>
      <c r="S437" s="7">
        <v>10974.0</v>
      </c>
      <c r="T437" s="7">
        <v>221.51</v>
      </c>
      <c r="U437" s="7">
        <v>2360.0</v>
      </c>
      <c r="V437" s="7">
        <v>0.09</v>
      </c>
      <c r="W437" s="7">
        <v>918.0</v>
      </c>
      <c r="X437" s="7">
        <v>370.0</v>
      </c>
      <c r="Y437" s="7">
        <v>318624.0</v>
      </c>
      <c r="Z437" s="7">
        <v>1.16</v>
      </c>
      <c r="AA437" s="7">
        <v>225.0</v>
      </c>
      <c r="AB437" s="7"/>
      <c r="AC437" s="7"/>
      <c r="AD437" s="7"/>
    </row>
    <row r="438" ht="15.75" customHeight="1">
      <c r="A438" s="6">
        <v>44998.0</v>
      </c>
      <c r="B438" s="7">
        <f t="shared" si="1"/>
        <v>13</v>
      </c>
      <c r="C438" s="7">
        <f t="shared" si="2"/>
        <v>3</v>
      </c>
      <c r="D438" s="7">
        <v>14388.07</v>
      </c>
      <c r="E438" s="7">
        <v>10098.0</v>
      </c>
      <c r="F438" s="7">
        <v>17915.0</v>
      </c>
      <c r="G438" s="7">
        <v>28013.0</v>
      </c>
      <c r="H438" s="7">
        <v>1009.24</v>
      </c>
      <c r="I438" s="7">
        <v>7186.0</v>
      </c>
      <c r="J438" s="7">
        <v>0.14</v>
      </c>
      <c r="K438" s="7">
        <v>4327.0</v>
      </c>
      <c r="L438" s="7">
        <v>5257.88</v>
      </c>
      <c r="M438" s="7">
        <v>6792.0</v>
      </c>
      <c r="N438" s="7">
        <v>0.774</v>
      </c>
      <c r="O438" s="8">
        <v>3963.0</v>
      </c>
      <c r="P438" s="7">
        <v>7202.84</v>
      </c>
      <c r="Q438" s="7">
        <v>4831808.0</v>
      </c>
      <c r="R438" s="7">
        <v>1.49</v>
      </c>
      <c r="S438" s="7">
        <v>8805.0</v>
      </c>
      <c r="T438" s="7">
        <v>325.99</v>
      </c>
      <c r="U438" s="7">
        <v>3228.0</v>
      </c>
      <c r="V438" s="7">
        <v>0.1</v>
      </c>
      <c r="W438" s="7">
        <v>769.0</v>
      </c>
      <c r="X438" s="7">
        <v>592.12</v>
      </c>
      <c r="Y438" s="7">
        <v>587834.0</v>
      </c>
      <c r="Z438" s="7">
        <v>1.01</v>
      </c>
      <c r="AA438" s="7">
        <v>251.0</v>
      </c>
      <c r="AB438" s="7"/>
      <c r="AC438" s="7"/>
      <c r="AD438" s="7"/>
    </row>
    <row r="439" ht="15.75" customHeight="1">
      <c r="A439" s="6">
        <v>44999.0</v>
      </c>
      <c r="B439" s="7">
        <f t="shared" si="1"/>
        <v>14</v>
      </c>
      <c r="C439" s="7">
        <f t="shared" si="2"/>
        <v>3</v>
      </c>
      <c r="D439" s="7">
        <v>14803.95</v>
      </c>
      <c r="E439" s="7">
        <v>9635.0</v>
      </c>
      <c r="F439" s="7">
        <v>17974.0</v>
      </c>
      <c r="G439" s="7">
        <v>27609.0</v>
      </c>
      <c r="H439" s="7">
        <v>1137.26</v>
      </c>
      <c r="I439" s="7">
        <v>6741.0</v>
      </c>
      <c r="J439" s="7">
        <v>0.169</v>
      </c>
      <c r="K439" s="7">
        <v>3965.0</v>
      </c>
      <c r="L439" s="7">
        <v>5048.47</v>
      </c>
      <c r="M439" s="7">
        <v>6720.0</v>
      </c>
      <c r="N439" s="7">
        <v>0.751</v>
      </c>
      <c r="O439" s="8">
        <v>3867.0</v>
      </c>
      <c r="P439" s="7">
        <v>7789.46</v>
      </c>
      <c r="Q439" s="7">
        <v>4963687.0</v>
      </c>
      <c r="R439" s="7">
        <v>1.57</v>
      </c>
      <c r="S439" s="7">
        <v>8923.0</v>
      </c>
      <c r="T439" s="7">
        <v>230.94</v>
      </c>
      <c r="U439" s="7">
        <v>1996.0</v>
      </c>
      <c r="V439" s="7">
        <v>0.12</v>
      </c>
      <c r="W439" s="7">
        <v>867.0</v>
      </c>
      <c r="X439" s="7">
        <v>597.82</v>
      </c>
      <c r="Y439" s="7">
        <v>588026.0</v>
      </c>
      <c r="Z439" s="7">
        <v>1.02</v>
      </c>
      <c r="AA439" s="7">
        <v>261.0</v>
      </c>
      <c r="AB439" s="7"/>
      <c r="AC439" s="7"/>
      <c r="AD439" s="7"/>
    </row>
    <row r="440" ht="15.75" customHeight="1">
      <c r="A440" s="6">
        <v>45000.0</v>
      </c>
      <c r="B440" s="7">
        <f t="shared" si="1"/>
        <v>15</v>
      </c>
      <c r="C440" s="7">
        <f t="shared" si="2"/>
        <v>3</v>
      </c>
      <c r="D440" s="7">
        <v>14546.36</v>
      </c>
      <c r="E440" s="7">
        <v>10317.0</v>
      </c>
      <c r="F440" s="7">
        <v>16586.0</v>
      </c>
      <c r="G440" s="7">
        <v>26903.0</v>
      </c>
      <c r="H440" s="7">
        <v>964.27</v>
      </c>
      <c r="I440" s="7">
        <v>6528.0</v>
      </c>
      <c r="J440" s="7">
        <v>0.148</v>
      </c>
      <c r="K440" s="7">
        <v>4086.0</v>
      </c>
      <c r="L440" s="7">
        <v>4952.22</v>
      </c>
      <c r="M440" s="7">
        <v>6535.0</v>
      </c>
      <c r="N440" s="7">
        <v>0.758</v>
      </c>
      <c r="O440" s="8">
        <v>3864.0</v>
      </c>
      <c r="P440" s="7">
        <v>7850.37</v>
      </c>
      <c r="Q440" s="7">
        <v>4659054.0</v>
      </c>
      <c r="R440" s="7">
        <v>1.68</v>
      </c>
      <c r="S440" s="7">
        <v>7798.0</v>
      </c>
      <c r="T440" s="7">
        <v>311.13</v>
      </c>
      <c r="U440" s="7">
        <v>3602.0</v>
      </c>
      <c r="V440" s="7">
        <v>0.09</v>
      </c>
      <c r="W440" s="7">
        <v>625.0</v>
      </c>
      <c r="X440" s="7">
        <v>468.37</v>
      </c>
      <c r="Y440" s="7">
        <v>383741.0</v>
      </c>
      <c r="Z440" s="7">
        <v>1.22</v>
      </c>
      <c r="AA440" s="7">
        <v>251.0</v>
      </c>
      <c r="AB440" s="7"/>
      <c r="AC440" s="7"/>
      <c r="AD440" s="7"/>
    </row>
    <row r="441" ht="15.75" customHeight="1">
      <c r="A441" s="6">
        <v>45001.0</v>
      </c>
      <c r="B441" s="7">
        <f t="shared" si="1"/>
        <v>16</v>
      </c>
      <c r="C441" s="7">
        <f t="shared" si="2"/>
        <v>3</v>
      </c>
      <c r="D441" s="7">
        <v>14390.99</v>
      </c>
      <c r="E441" s="7">
        <v>8867.0</v>
      </c>
      <c r="F441" s="7">
        <v>16097.0</v>
      </c>
      <c r="G441" s="7">
        <v>24964.0</v>
      </c>
      <c r="H441" s="7">
        <v>933.06</v>
      </c>
      <c r="I441" s="7">
        <v>6369.0</v>
      </c>
      <c r="J441" s="7">
        <v>0.147</v>
      </c>
      <c r="K441" s="7">
        <v>3768.0</v>
      </c>
      <c r="L441" s="7">
        <v>4710.06</v>
      </c>
      <c r="M441" s="7">
        <v>6323.0</v>
      </c>
      <c r="N441" s="7">
        <v>0.745</v>
      </c>
      <c r="O441" s="8">
        <v>3664.0</v>
      </c>
      <c r="P441" s="7">
        <v>7795.56</v>
      </c>
      <c r="Q441" s="7">
        <v>4436527.0</v>
      </c>
      <c r="R441" s="7">
        <v>1.76</v>
      </c>
      <c r="S441" s="7">
        <v>7889.0</v>
      </c>
      <c r="T441" s="7">
        <v>257.9</v>
      </c>
      <c r="U441" s="7">
        <v>2492.0</v>
      </c>
      <c r="V441" s="7">
        <v>0.1</v>
      </c>
      <c r="W441" s="7">
        <v>837.0</v>
      </c>
      <c r="X441" s="7">
        <v>694.41</v>
      </c>
      <c r="Y441" s="7">
        <v>619018.0</v>
      </c>
      <c r="Z441" s="7">
        <v>1.12</v>
      </c>
      <c r="AA441" s="7">
        <v>198.0</v>
      </c>
      <c r="AB441" s="7"/>
      <c r="AC441" s="7"/>
      <c r="AD441" s="7"/>
    </row>
    <row r="442" ht="15.75" customHeight="1">
      <c r="A442" s="6">
        <v>45002.0</v>
      </c>
      <c r="B442" s="7">
        <f t="shared" si="1"/>
        <v>17</v>
      </c>
      <c r="C442" s="7">
        <f t="shared" si="2"/>
        <v>3</v>
      </c>
      <c r="D442" s="7">
        <v>14619.15</v>
      </c>
      <c r="E442" s="7">
        <v>10200.0</v>
      </c>
      <c r="F442" s="7">
        <v>16126.0</v>
      </c>
      <c r="G442" s="7">
        <v>26326.0</v>
      </c>
      <c r="H442" s="7">
        <v>879.7</v>
      </c>
      <c r="I442" s="7">
        <v>6341.0</v>
      </c>
      <c r="J442" s="7">
        <v>0.139</v>
      </c>
      <c r="K442" s="7">
        <v>4104.0</v>
      </c>
      <c r="L442" s="7">
        <v>4860.4</v>
      </c>
      <c r="M442" s="7">
        <v>6395.0</v>
      </c>
      <c r="N442" s="7">
        <v>0.76</v>
      </c>
      <c r="O442" s="8">
        <v>3590.0</v>
      </c>
      <c r="P442" s="7">
        <v>7627.26</v>
      </c>
      <c r="Q442" s="7">
        <v>4258826.0</v>
      </c>
      <c r="R442" s="7">
        <v>1.79</v>
      </c>
      <c r="S442" s="7">
        <v>7157.0</v>
      </c>
      <c r="T442" s="7">
        <v>356.13</v>
      </c>
      <c r="U442" s="7">
        <v>2488.0</v>
      </c>
      <c r="V442" s="7">
        <v>0.14</v>
      </c>
      <c r="W442" s="7">
        <v>819.0</v>
      </c>
      <c r="X442" s="7">
        <v>895.66</v>
      </c>
      <c r="Y442" s="7">
        <v>855101.0</v>
      </c>
      <c r="Z442" s="7">
        <v>1.05</v>
      </c>
      <c r="AA442" s="7">
        <v>319.0</v>
      </c>
      <c r="AB442" s="7"/>
      <c r="AC442" s="7"/>
      <c r="AD442" s="7"/>
    </row>
    <row r="443" ht="15.75" customHeight="1">
      <c r="A443" s="6">
        <v>45003.0</v>
      </c>
      <c r="B443" s="7">
        <f t="shared" si="1"/>
        <v>18</v>
      </c>
      <c r="C443" s="7">
        <f t="shared" si="2"/>
        <v>3</v>
      </c>
      <c r="D443" s="7">
        <v>15284.86</v>
      </c>
      <c r="E443" s="7">
        <v>8677.0</v>
      </c>
      <c r="F443" s="7">
        <v>17028.0</v>
      </c>
      <c r="G443" s="7">
        <v>25705.0</v>
      </c>
      <c r="H443" s="7">
        <v>803.06</v>
      </c>
      <c r="I443" s="7">
        <v>6344.0</v>
      </c>
      <c r="J443" s="7">
        <v>0.127</v>
      </c>
      <c r="K443" s="7">
        <v>3864.0</v>
      </c>
      <c r="L443" s="7">
        <v>5325.78</v>
      </c>
      <c r="M443" s="7">
        <v>6989.0</v>
      </c>
      <c r="N443" s="7">
        <v>0.762</v>
      </c>
      <c r="O443" s="8">
        <v>4086.0</v>
      </c>
      <c r="P443" s="7">
        <v>7944.84</v>
      </c>
      <c r="Q443" s="7">
        <v>4500039.0</v>
      </c>
      <c r="R443" s="7">
        <v>1.77</v>
      </c>
      <c r="S443" s="7">
        <v>8440.0</v>
      </c>
      <c r="T443" s="7">
        <v>313.91</v>
      </c>
      <c r="U443" s="7">
        <v>3718.0</v>
      </c>
      <c r="V443" s="7">
        <v>0.08</v>
      </c>
      <c r="W443" s="7">
        <v>654.0</v>
      </c>
      <c r="X443" s="7">
        <v>897.27</v>
      </c>
      <c r="Y443" s="7">
        <v>527222.0</v>
      </c>
      <c r="Z443" s="7">
        <v>1.7</v>
      </c>
      <c r="AA443" s="7">
        <v>385.0</v>
      </c>
      <c r="AB443" s="7"/>
      <c r="AC443" s="7"/>
      <c r="AD443" s="7"/>
    </row>
    <row r="444" ht="15.75" customHeight="1">
      <c r="A444" s="6">
        <v>45004.0</v>
      </c>
      <c r="B444" s="7">
        <f t="shared" si="1"/>
        <v>19</v>
      </c>
      <c r="C444" s="7">
        <f t="shared" si="2"/>
        <v>3</v>
      </c>
      <c r="D444" s="7">
        <v>15894.28</v>
      </c>
      <c r="E444" s="7">
        <v>9383.0</v>
      </c>
      <c r="F444" s="7">
        <v>18745.0</v>
      </c>
      <c r="G444" s="7">
        <v>28128.0</v>
      </c>
      <c r="H444" s="7">
        <v>912.24</v>
      </c>
      <c r="I444" s="7">
        <v>7210.0</v>
      </c>
      <c r="J444" s="7">
        <v>0.127</v>
      </c>
      <c r="K444" s="7">
        <v>4482.0</v>
      </c>
      <c r="L444" s="7">
        <v>5538.07</v>
      </c>
      <c r="M444" s="7">
        <v>7630.0</v>
      </c>
      <c r="N444" s="7">
        <v>0.726</v>
      </c>
      <c r="O444" s="8">
        <v>4546.0</v>
      </c>
      <c r="P444" s="7">
        <v>8605.86</v>
      </c>
      <c r="Q444" s="7">
        <v>5332364.0</v>
      </c>
      <c r="R444" s="7">
        <v>1.61</v>
      </c>
      <c r="S444" s="7">
        <v>9053.0</v>
      </c>
      <c r="T444" s="7">
        <v>277.19</v>
      </c>
      <c r="U444" s="7">
        <v>2917.0</v>
      </c>
      <c r="V444" s="7">
        <v>0.1</v>
      </c>
      <c r="W444" s="7">
        <v>802.0</v>
      </c>
      <c r="X444" s="7">
        <v>560.92</v>
      </c>
      <c r="Y444" s="7">
        <v>294116.0</v>
      </c>
      <c r="Z444" s="7">
        <v>1.91</v>
      </c>
      <c r="AA444" s="7">
        <v>311.0</v>
      </c>
      <c r="AB444" s="7"/>
      <c r="AC444" s="7"/>
      <c r="AD444" s="7"/>
    </row>
    <row r="445" ht="15.75" customHeight="1">
      <c r="A445" s="6">
        <v>45005.0</v>
      </c>
      <c r="B445" s="7">
        <f t="shared" si="1"/>
        <v>20</v>
      </c>
      <c r="C445" s="7">
        <f t="shared" si="2"/>
        <v>3</v>
      </c>
      <c r="D445" s="7">
        <v>15348.45</v>
      </c>
      <c r="E445" s="7">
        <v>9827.0</v>
      </c>
      <c r="F445" s="7">
        <v>18289.0</v>
      </c>
      <c r="G445" s="7">
        <v>28116.0</v>
      </c>
      <c r="H445" s="7">
        <v>1117.7</v>
      </c>
      <c r="I445" s="7">
        <v>6763.0</v>
      </c>
      <c r="J445" s="7">
        <v>0.165</v>
      </c>
      <c r="K445" s="7">
        <v>4231.0</v>
      </c>
      <c r="L445" s="7">
        <v>4786.27</v>
      </c>
      <c r="M445" s="7">
        <v>6523.0</v>
      </c>
      <c r="N445" s="7">
        <v>0.734</v>
      </c>
      <c r="O445" s="8">
        <v>3901.0</v>
      </c>
      <c r="P445" s="7">
        <v>8236.45</v>
      </c>
      <c r="Q445" s="7">
        <v>5313580.0</v>
      </c>
      <c r="R445" s="7">
        <v>1.55</v>
      </c>
      <c r="S445" s="7">
        <v>8975.0</v>
      </c>
      <c r="T445" s="7">
        <v>319.37</v>
      </c>
      <c r="U445" s="7">
        <v>3584.0</v>
      </c>
      <c r="V445" s="7">
        <v>0.09</v>
      </c>
      <c r="W445" s="7">
        <v>856.0</v>
      </c>
      <c r="X445" s="7">
        <v>888.66</v>
      </c>
      <c r="Y445" s="7">
        <v>780982.0</v>
      </c>
      <c r="Z445" s="7">
        <v>1.14</v>
      </c>
      <c r="AA445" s="7">
        <v>417.0</v>
      </c>
      <c r="AB445" s="7"/>
      <c r="AC445" s="7"/>
      <c r="AD445" s="7"/>
    </row>
    <row r="446" ht="15.75" customHeight="1">
      <c r="A446" s="6">
        <v>45006.0</v>
      </c>
      <c r="B446" s="7">
        <f t="shared" si="1"/>
        <v>21</v>
      </c>
      <c r="C446" s="7">
        <f t="shared" si="2"/>
        <v>3</v>
      </c>
      <c r="D446" s="7">
        <v>15553.99</v>
      </c>
      <c r="E446" s="7">
        <v>10039.0</v>
      </c>
      <c r="F446" s="7">
        <v>17764.0</v>
      </c>
      <c r="G446" s="7">
        <v>27803.0</v>
      </c>
      <c r="H446" s="7">
        <v>1257.54</v>
      </c>
      <c r="I446" s="7">
        <v>6954.0</v>
      </c>
      <c r="J446" s="7">
        <v>0.181</v>
      </c>
      <c r="K446" s="7">
        <v>4385.0</v>
      </c>
      <c r="L446" s="7">
        <v>4973.35</v>
      </c>
      <c r="M446" s="7">
        <v>6709.0</v>
      </c>
      <c r="N446" s="7">
        <v>0.741</v>
      </c>
      <c r="O446" s="8">
        <v>4126.0</v>
      </c>
      <c r="P446" s="7">
        <v>8061.75</v>
      </c>
      <c r="Q446" s="7">
        <v>4761037.0</v>
      </c>
      <c r="R446" s="7">
        <v>1.69</v>
      </c>
      <c r="S446" s="7">
        <v>8386.0</v>
      </c>
      <c r="T446" s="7">
        <v>315.03</v>
      </c>
      <c r="U446" s="7">
        <v>2645.0</v>
      </c>
      <c r="V446" s="7">
        <v>0.12</v>
      </c>
      <c r="W446" s="7">
        <v>847.0</v>
      </c>
      <c r="X446" s="7">
        <v>946.32</v>
      </c>
      <c r="Y446" s="7">
        <v>627468.0</v>
      </c>
      <c r="Z446" s="7">
        <v>1.51</v>
      </c>
      <c r="AA446" s="7">
        <v>339.0</v>
      </c>
      <c r="AB446" s="7"/>
      <c r="AC446" s="7"/>
      <c r="AD446" s="7"/>
    </row>
    <row r="447" ht="15.75" customHeight="1">
      <c r="A447" s="6">
        <v>45007.0</v>
      </c>
      <c r="B447" s="7">
        <f t="shared" si="1"/>
        <v>22</v>
      </c>
      <c r="C447" s="7">
        <f t="shared" si="2"/>
        <v>3</v>
      </c>
      <c r="D447" s="7">
        <v>14786.6</v>
      </c>
      <c r="E447" s="7">
        <v>9257.0</v>
      </c>
      <c r="F447" s="7">
        <v>16412.0</v>
      </c>
      <c r="G447" s="7">
        <v>25669.0</v>
      </c>
      <c r="H447" s="7">
        <v>1063.28</v>
      </c>
      <c r="I447" s="7">
        <v>6588.0</v>
      </c>
      <c r="J447" s="7">
        <v>0.161</v>
      </c>
      <c r="K447" s="7">
        <v>4030.0</v>
      </c>
      <c r="L447" s="7">
        <v>4610.6</v>
      </c>
      <c r="M447" s="7">
        <v>6427.0</v>
      </c>
      <c r="N447" s="7">
        <v>0.717</v>
      </c>
      <c r="O447" s="8">
        <v>3813.0</v>
      </c>
      <c r="P447" s="7">
        <v>7779.05</v>
      </c>
      <c r="Q447" s="7">
        <v>4327058.0</v>
      </c>
      <c r="R447" s="7">
        <v>1.8</v>
      </c>
      <c r="S447" s="7">
        <v>7516.0</v>
      </c>
      <c r="T447" s="7">
        <v>360.32</v>
      </c>
      <c r="U447" s="7">
        <v>3217.0</v>
      </c>
      <c r="V447" s="7">
        <v>0.11</v>
      </c>
      <c r="W447" s="7">
        <v>823.0</v>
      </c>
      <c r="X447" s="7">
        <v>973.35</v>
      </c>
      <c r="Y447" s="7">
        <v>632098.0</v>
      </c>
      <c r="Z447" s="7">
        <v>1.54</v>
      </c>
      <c r="AA447" s="7">
        <v>275.0</v>
      </c>
      <c r="AB447" s="7"/>
      <c r="AC447" s="7"/>
      <c r="AD447" s="7"/>
    </row>
    <row r="448" ht="15.75" customHeight="1">
      <c r="A448" s="6">
        <v>45008.0</v>
      </c>
      <c r="B448" s="7">
        <f t="shared" si="1"/>
        <v>23</v>
      </c>
      <c r="C448" s="7">
        <f t="shared" si="2"/>
        <v>3</v>
      </c>
      <c r="D448" s="7">
        <v>14365.02</v>
      </c>
      <c r="E448" s="7">
        <v>9496.0</v>
      </c>
      <c r="F448" s="7">
        <v>16924.0</v>
      </c>
      <c r="G448" s="7">
        <v>26420.0</v>
      </c>
      <c r="H448" s="7">
        <v>1111.32</v>
      </c>
      <c r="I448" s="7">
        <v>7872.0</v>
      </c>
      <c r="J448" s="7">
        <v>0.141</v>
      </c>
      <c r="K448" s="7">
        <v>4748.0</v>
      </c>
      <c r="L448" s="7">
        <v>4475.41</v>
      </c>
      <c r="M448" s="7">
        <v>6067.0</v>
      </c>
      <c r="N448" s="7">
        <v>0.738</v>
      </c>
      <c r="O448" s="8">
        <v>3470.0</v>
      </c>
      <c r="P448" s="7">
        <v>7483.49</v>
      </c>
      <c r="Q448" s="7">
        <v>4066871.0</v>
      </c>
      <c r="R448" s="7">
        <v>1.84</v>
      </c>
      <c r="S448" s="7">
        <v>7363.0</v>
      </c>
      <c r="T448" s="7">
        <v>298.45</v>
      </c>
      <c r="U448" s="7">
        <v>2470.0</v>
      </c>
      <c r="V448" s="7">
        <v>0.12</v>
      </c>
      <c r="W448" s="7">
        <v>822.0</v>
      </c>
      <c r="X448" s="7">
        <v>996.35</v>
      </c>
      <c r="Y448" s="7">
        <v>587814.0</v>
      </c>
      <c r="Z448" s="7">
        <v>1.7</v>
      </c>
      <c r="AA448" s="7">
        <v>421.0</v>
      </c>
      <c r="AB448" s="7"/>
      <c r="AC448" s="7"/>
      <c r="AD448" s="7"/>
    </row>
    <row r="449" ht="15.75" customHeight="1">
      <c r="A449" s="6">
        <v>45009.0</v>
      </c>
      <c r="B449" s="7">
        <f t="shared" si="1"/>
        <v>24</v>
      </c>
      <c r="C449" s="7">
        <f t="shared" si="2"/>
        <v>3</v>
      </c>
      <c r="D449" s="7">
        <v>13959.36</v>
      </c>
      <c r="E449" s="7">
        <v>9231.0</v>
      </c>
      <c r="F449" s="7">
        <v>16704.0</v>
      </c>
      <c r="G449" s="7">
        <v>25935.0</v>
      </c>
      <c r="H449" s="7">
        <v>1045.73</v>
      </c>
      <c r="I449" s="7">
        <v>6840.0</v>
      </c>
      <c r="J449" s="7">
        <v>0.153</v>
      </c>
      <c r="K449" s="7">
        <v>4240.0</v>
      </c>
      <c r="L449" s="7">
        <v>4247.29</v>
      </c>
      <c r="M449" s="7">
        <v>5872.0</v>
      </c>
      <c r="N449" s="7">
        <v>0.723</v>
      </c>
      <c r="O449" s="8">
        <v>3486.0</v>
      </c>
      <c r="P449" s="7">
        <v>7385.1</v>
      </c>
      <c r="Q449" s="7">
        <v>3999336.0</v>
      </c>
      <c r="R449" s="7">
        <v>1.85</v>
      </c>
      <c r="S449" s="7">
        <v>7347.0</v>
      </c>
      <c r="T449" s="7">
        <v>302.76</v>
      </c>
      <c r="U449" s="7">
        <v>2268.0</v>
      </c>
      <c r="V449" s="7">
        <v>0.13</v>
      </c>
      <c r="W449" s="7">
        <v>981.0</v>
      </c>
      <c r="X449" s="7">
        <v>978.48</v>
      </c>
      <c r="Y449" s="7">
        <v>518213.0</v>
      </c>
      <c r="Z449" s="7">
        <v>1.89</v>
      </c>
      <c r="AA449" s="7">
        <v>668.0</v>
      </c>
      <c r="AB449" s="7"/>
      <c r="AC449" s="7"/>
      <c r="AD449" s="7"/>
    </row>
    <row r="450" ht="15.75" customHeight="1">
      <c r="A450" s="6">
        <v>45010.0</v>
      </c>
      <c r="B450" s="7">
        <f t="shared" si="1"/>
        <v>25</v>
      </c>
      <c r="C450" s="7">
        <f t="shared" si="2"/>
        <v>3</v>
      </c>
      <c r="D450" s="7">
        <v>14427.51</v>
      </c>
      <c r="E450" s="7">
        <v>8554.0</v>
      </c>
      <c r="F450" s="7">
        <v>16781.0</v>
      </c>
      <c r="G450" s="7">
        <v>25335.0</v>
      </c>
      <c r="H450" s="7">
        <v>971.44</v>
      </c>
      <c r="I450" s="7">
        <v>6860.0</v>
      </c>
      <c r="J450" s="7">
        <v>0.142</v>
      </c>
      <c r="K450" s="7">
        <v>4339.0</v>
      </c>
      <c r="L450" s="7">
        <v>4514.94</v>
      </c>
      <c r="M450" s="7">
        <v>6303.0</v>
      </c>
      <c r="N450" s="7">
        <v>0.716</v>
      </c>
      <c r="O450" s="8">
        <v>3762.0</v>
      </c>
      <c r="P450" s="7">
        <v>7695.43</v>
      </c>
      <c r="Q450" s="7">
        <v>4229236.0</v>
      </c>
      <c r="R450" s="7">
        <v>1.82</v>
      </c>
      <c r="S450" s="7">
        <v>7817.0</v>
      </c>
      <c r="T450" s="7">
        <v>263.22</v>
      </c>
      <c r="U450" s="7">
        <v>2678.0</v>
      </c>
      <c r="V450" s="7">
        <v>0.1</v>
      </c>
      <c r="W450" s="7">
        <v>579.0</v>
      </c>
      <c r="X450" s="7">
        <v>982.48</v>
      </c>
      <c r="Y450" s="7">
        <v>557793.0</v>
      </c>
      <c r="Z450" s="7">
        <v>1.76</v>
      </c>
      <c r="AA450" s="7">
        <v>687.0</v>
      </c>
      <c r="AB450" s="7"/>
      <c r="AC450" s="7"/>
      <c r="AD450" s="7"/>
    </row>
    <row r="451" ht="15.75" customHeight="1">
      <c r="A451" s="6">
        <v>45011.0</v>
      </c>
      <c r="B451" s="7">
        <f t="shared" si="1"/>
        <v>26</v>
      </c>
      <c r="C451" s="7">
        <f t="shared" si="2"/>
        <v>3</v>
      </c>
      <c r="D451" s="7">
        <v>15897.08</v>
      </c>
      <c r="E451" s="7">
        <v>9901.0</v>
      </c>
      <c r="F451" s="7">
        <v>20715.0</v>
      </c>
      <c r="G451" s="7">
        <v>30616.0</v>
      </c>
      <c r="H451" s="7">
        <v>1229.86</v>
      </c>
      <c r="I451" s="7">
        <v>8464.0</v>
      </c>
      <c r="J451" s="7">
        <v>0.145</v>
      </c>
      <c r="K451" s="7">
        <v>5400.0</v>
      </c>
      <c r="L451" s="7">
        <v>4810.56</v>
      </c>
      <c r="M451" s="7">
        <v>7414.0</v>
      </c>
      <c r="N451" s="7">
        <v>0.649</v>
      </c>
      <c r="O451" s="8">
        <v>4438.0</v>
      </c>
      <c r="P451" s="7">
        <v>8548.56</v>
      </c>
      <c r="Q451" s="7">
        <v>5089726.0</v>
      </c>
      <c r="R451" s="7">
        <v>1.68</v>
      </c>
      <c r="S451" s="7">
        <v>9590.0</v>
      </c>
      <c r="T451" s="7">
        <v>312.53</v>
      </c>
      <c r="U451" s="7">
        <v>2910.0</v>
      </c>
      <c r="V451" s="7">
        <v>0.11</v>
      </c>
      <c r="W451" s="7">
        <v>695.0</v>
      </c>
      <c r="X451" s="7">
        <v>995.57</v>
      </c>
      <c r="Y451" s="7">
        <v>664211.0</v>
      </c>
      <c r="Z451" s="7">
        <v>1.5</v>
      </c>
      <c r="AA451" s="7">
        <v>819.0</v>
      </c>
      <c r="AB451" s="7"/>
      <c r="AC451" s="7"/>
      <c r="AD451" s="7"/>
    </row>
    <row r="452" ht="15.75" customHeight="1">
      <c r="A452" s="6">
        <v>45012.0</v>
      </c>
      <c r="B452" s="7">
        <f t="shared" si="1"/>
        <v>27</v>
      </c>
      <c r="C452" s="7">
        <f t="shared" si="2"/>
        <v>3</v>
      </c>
      <c r="D452" s="7">
        <v>14807.59</v>
      </c>
      <c r="E452" s="7">
        <v>14256.0</v>
      </c>
      <c r="F452" s="7">
        <v>24488.0</v>
      </c>
      <c r="G452" s="7">
        <v>38744.0</v>
      </c>
      <c r="H452" s="7">
        <v>1303.82</v>
      </c>
      <c r="I452" s="7">
        <v>7783.0</v>
      </c>
      <c r="J452" s="7">
        <v>0.168</v>
      </c>
      <c r="K452" s="7">
        <v>6342.0</v>
      </c>
      <c r="L452" s="7">
        <v>4403.99</v>
      </c>
      <c r="M452" s="7">
        <v>6460.0</v>
      </c>
      <c r="N452" s="7">
        <v>0.682</v>
      </c>
      <c r="O452" s="8">
        <v>5202.0</v>
      </c>
      <c r="P452" s="7">
        <v>7753.11</v>
      </c>
      <c r="Q452" s="7">
        <v>4957972.0</v>
      </c>
      <c r="R452" s="7">
        <v>1.56</v>
      </c>
      <c r="S452" s="7">
        <v>11006.0</v>
      </c>
      <c r="T452" s="7">
        <v>287.25</v>
      </c>
      <c r="U452" s="7">
        <v>2573.0</v>
      </c>
      <c r="V452" s="7">
        <v>0.11</v>
      </c>
      <c r="W452" s="7">
        <v>1396.0</v>
      </c>
      <c r="X452" s="7">
        <v>1059.42</v>
      </c>
      <c r="Y452" s="7">
        <v>754430.0</v>
      </c>
      <c r="Z452" s="7">
        <v>1.4</v>
      </c>
      <c r="AA452" s="7">
        <v>998.0</v>
      </c>
      <c r="AB452" s="7"/>
      <c r="AC452" s="7"/>
      <c r="AD452" s="7"/>
    </row>
    <row r="453" ht="15.75" customHeight="1">
      <c r="A453" s="6">
        <v>45013.0</v>
      </c>
      <c r="B453" s="7">
        <f t="shared" si="1"/>
        <v>28</v>
      </c>
      <c r="C453" s="7">
        <f t="shared" si="2"/>
        <v>3</v>
      </c>
      <c r="D453" s="7">
        <v>13014.22</v>
      </c>
      <c r="E453" s="7">
        <v>13243.0</v>
      </c>
      <c r="F453" s="7">
        <v>22671.0</v>
      </c>
      <c r="G453" s="7">
        <v>35914.0</v>
      </c>
      <c r="H453" s="7">
        <v>1097.57</v>
      </c>
      <c r="I453" s="7">
        <v>7122.0</v>
      </c>
      <c r="J453" s="7">
        <v>0.154</v>
      </c>
      <c r="K453" s="7">
        <v>5999.0</v>
      </c>
      <c r="L453" s="7">
        <v>4015.29</v>
      </c>
      <c r="M453" s="7">
        <v>5939.0</v>
      </c>
      <c r="N453" s="7">
        <v>0.676</v>
      </c>
      <c r="O453" s="8">
        <v>4789.0</v>
      </c>
      <c r="P453" s="7">
        <v>6498.86</v>
      </c>
      <c r="Q453" s="7">
        <v>3964184.0</v>
      </c>
      <c r="R453" s="7">
        <v>1.64</v>
      </c>
      <c r="S453" s="7">
        <v>10395.0</v>
      </c>
      <c r="T453" s="7">
        <v>261.14</v>
      </c>
      <c r="U453" s="7">
        <v>1755.0</v>
      </c>
      <c r="V453" s="7">
        <v>0.15</v>
      </c>
      <c r="W453" s="7">
        <v>739.0</v>
      </c>
      <c r="X453" s="7">
        <v>1141.36</v>
      </c>
      <c r="Y453" s="7">
        <v>849690.0</v>
      </c>
      <c r="Z453" s="7">
        <v>1.34</v>
      </c>
      <c r="AA453" s="7">
        <v>1037.0</v>
      </c>
      <c r="AB453" s="7"/>
      <c r="AC453" s="7"/>
      <c r="AD453" s="7"/>
    </row>
    <row r="454" ht="15.75" customHeight="1">
      <c r="A454" s="6">
        <v>45014.0</v>
      </c>
      <c r="B454" s="7">
        <f t="shared" si="1"/>
        <v>29</v>
      </c>
      <c r="C454" s="7">
        <f t="shared" si="2"/>
        <v>3</v>
      </c>
      <c r="D454" s="7">
        <v>12472.37</v>
      </c>
      <c r="E454" s="7">
        <v>13368.0</v>
      </c>
      <c r="F454" s="7">
        <v>21773.0</v>
      </c>
      <c r="G454" s="7">
        <v>35141.0</v>
      </c>
      <c r="H454" s="7">
        <v>1037.33</v>
      </c>
      <c r="I454" s="7">
        <v>6938.0</v>
      </c>
      <c r="J454" s="7">
        <v>0.15</v>
      </c>
      <c r="K454" s="7">
        <v>5911.0</v>
      </c>
      <c r="L454" s="7">
        <v>3866.56</v>
      </c>
      <c r="M454" s="7">
        <v>5703.0</v>
      </c>
      <c r="N454" s="7">
        <v>0.678</v>
      </c>
      <c r="O454" s="8">
        <v>4663.0</v>
      </c>
      <c r="P454" s="7">
        <v>6076.89</v>
      </c>
      <c r="Q454" s="7">
        <v>3584835.0</v>
      </c>
      <c r="R454" s="7">
        <v>1.7</v>
      </c>
      <c r="S454" s="7">
        <v>9550.0</v>
      </c>
      <c r="T454" s="7">
        <v>345.03</v>
      </c>
      <c r="U454" s="7">
        <v>4085.0</v>
      </c>
      <c r="V454" s="7">
        <v>0.08</v>
      </c>
      <c r="W454" s="7">
        <v>790.0</v>
      </c>
      <c r="X454" s="7">
        <v>1146.56</v>
      </c>
      <c r="Y454" s="7">
        <v>759551.0</v>
      </c>
      <c r="Z454" s="7">
        <v>1.51</v>
      </c>
      <c r="AA454" s="7">
        <v>779.0</v>
      </c>
      <c r="AB454" s="7"/>
      <c r="AC454" s="7"/>
      <c r="AD454" s="7"/>
    </row>
    <row r="455" ht="15.75" customHeight="1">
      <c r="A455" s="6">
        <v>45015.0</v>
      </c>
      <c r="B455" s="7">
        <f t="shared" si="1"/>
        <v>30</v>
      </c>
      <c r="C455" s="7">
        <f t="shared" si="2"/>
        <v>3</v>
      </c>
      <c r="D455" s="7">
        <v>13116.34</v>
      </c>
      <c r="E455" s="7">
        <v>14127.0</v>
      </c>
      <c r="F455" s="7">
        <v>22536.0</v>
      </c>
      <c r="G455" s="7">
        <v>36663.0</v>
      </c>
      <c r="H455" s="7">
        <v>1085.8</v>
      </c>
      <c r="I455" s="7">
        <v>7378.0</v>
      </c>
      <c r="J455" s="7">
        <v>0.147</v>
      </c>
      <c r="K455" s="7">
        <v>5997.0</v>
      </c>
      <c r="L455" s="7">
        <v>4301.93</v>
      </c>
      <c r="M455" s="7">
        <v>5792.0</v>
      </c>
      <c r="N455" s="7">
        <v>0.743</v>
      </c>
      <c r="O455" s="8">
        <v>4586.0</v>
      </c>
      <c r="P455" s="7">
        <v>6195.72</v>
      </c>
      <c r="Q455" s="7">
        <v>3619799.0</v>
      </c>
      <c r="R455" s="7">
        <v>1.71</v>
      </c>
      <c r="S455" s="7">
        <v>9733.0</v>
      </c>
      <c r="T455" s="7">
        <v>332.66</v>
      </c>
      <c r="U455" s="7">
        <v>5124.0</v>
      </c>
      <c r="V455" s="7">
        <v>0.06</v>
      </c>
      <c r="W455" s="7">
        <v>1031.0</v>
      </c>
      <c r="X455" s="7">
        <v>1200.23</v>
      </c>
      <c r="Y455" s="7">
        <v>670974.0</v>
      </c>
      <c r="Z455" s="7">
        <v>1.79</v>
      </c>
      <c r="AA455" s="7">
        <v>1170.0</v>
      </c>
      <c r="AB455" s="7"/>
      <c r="AC455" s="7"/>
      <c r="AD455" s="7"/>
    </row>
    <row r="456" ht="15.75" customHeight="1">
      <c r="A456" s="6">
        <v>45016.0</v>
      </c>
      <c r="B456" s="7">
        <f t="shared" si="1"/>
        <v>31</v>
      </c>
      <c r="C456" s="7">
        <f t="shared" si="2"/>
        <v>3</v>
      </c>
      <c r="D456" s="7">
        <v>12727.96</v>
      </c>
      <c r="E456" s="7">
        <v>12968.0</v>
      </c>
      <c r="F456" s="7">
        <v>21244.0</v>
      </c>
      <c r="G456" s="7">
        <v>34212.0</v>
      </c>
      <c r="H456" s="7">
        <v>925.97</v>
      </c>
      <c r="I456" s="7">
        <v>6381.0</v>
      </c>
      <c r="J456" s="7">
        <v>0.145</v>
      </c>
      <c r="K456" s="7">
        <v>5413.0</v>
      </c>
      <c r="L456" s="7">
        <v>4058.32</v>
      </c>
      <c r="M456" s="7">
        <v>5233.0</v>
      </c>
      <c r="N456" s="7">
        <v>0.776</v>
      </c>
      <c r="O456" s="8">
        <v>4274.0</v>
      </c>
      <c r="P456" s="7">
        <v>6151.14</v>
      </c>
      <c r="Q456" s="7">
        <v>3562852.0</v>
      </c>
      <c r="R456" s="7">
        <v>1.73</v>
      </c>
      <c r="S456" s="7">
        <v>9272.0</v>
      </c>
      <c r="T456" s="7">
        <v>344.74</v>
      </c>
      <c r="U456" s="7">
        <v>4054.0</v>
      </c>
      <c r="V456" s="7">
        <v>0.09</v>
      </c>
      <c r="W456" s="7">
        <v>1238.0</v>
      </c>
      <c r="X456" s="7">
        <v>1247.79</v>
      </c>
      <c r="Y456" s="7">
        <v>830723.0</v>
      </c>
      <c r="Z456" s="7">
        <v>1.5</v>
      </c>
      <c r="AA456" s="7">
        <v>1137.0</v>
      </c>
      <c r="AB456" s="7"/>
      <c r="AC456" s="7"/>
      <c r="AD456" s="7"/>
    </row>
    <row r="457" ht="15.75" customHeight="1">
      <c r="A457" s="6">
        <v>45017.0</v>
      </c>
      <c r="B457" s="7">
        <f t="shared" si="1"/>
        <v>1</v>
      </c>
      <c r="C457" s="7">
        <f t="shared" si="2"/>
        <v>4</v>
      </c>
      <c r="D457" s="7">
        <v>13597.18</v>
      </c>
      <c r="E457" s="7">
        <v>13429.0</v>
      </c>
      <c r="F457" s="7">
        <v>23776.0</v>
      </c>
      <c r="G457" s="7">
        <v>37205.0</v>
      </c>
      <c r="H457" s="7">
        <v>839.12</v>
      </c>
      <c r="I457" s="7">
        <v>6920.0</v>
      </c>
      <c r="J457" s="7">
        <v>0.121</v>
      </c>
      <c r="K457" s="7">
        <v>5401.0</v>
      </c>
      <c r="L457" s="7">
        <v>4533.09</v>
      </c>
      <c r="M457" s="7">
        <v>5759.0</v>
      </c>
      <c r="N457" s="7">
        <v>0.787</v>
      </c>
      <c r="O457" s="8">
        <v>4596.0</v>
      </c>
      <c r="P457" s="7">
        <v>6708.59</v>
      </c>
      <c r="Q457" s="7">
        <v>4388016.0</v>
      </c>
      <c r="R457" s="7">
        <v>1.53</v>
      </c>
      <c r="S457" s="7">
        <v>11145.0</v>
      </c>
      <c r="T457" s="7">
        <v>269.37</v>
      </c>
      <c r="U457" s="7">
        <v>4571.0</v>
      </c>
      <c r="V457" s="7">
        <v>0.06</v>
      </c>
      <c r="W457" s="7">
        <v>1241.0</v>
      </c>
      <c r="X457" s="7">
        <v>1247.01</v>
      </c>
      <c r="Y457" s="7">
        <v>874849.0</v>
      </c>
      <c r="Z457" s="7">
        <v>1.43</v>
      </c>
      <c r="AA457" s="7">
        <v>1240.0</v>
      </c>
      <c r="AB457" s="7"/>
      <c r="AC457" s="7"/>
      <c r="AD457" s="7"/>
    </row>
    <row r="458" ht="15.75" customHeight="1">
      <c r="A458" s="6">
        <v>45018.0</v>
      </c>
      <c r="B458" s="7">
        <f t="shared" si="1"/>
        <v>2</v>
      </c>
      <c r="C458" s="7">
        <f t="shared" si="2"/>
        <v>4</v>
      </c>
      <c r="D458" s="7">
        <v>14874.24</v>
      </c>
      <c r="E458" s="7">
        <v>14015.0</v>
      </c>
      <c r="F458" s="7">
        <v>27430.0</v>
      </c>
      <c r="G458" s="7">
        <v>41445.0</v>
      </c>
      <c r="H458" s="7">
        <v>1134.86</v>
      </c>
      <c r="I458" s="7">
        <v>8505.0</v>
      </c>
      <c r="J458" s="7">
        <v>0.133</v>
      </c>
      <c r="K458" s="7">
        <v>6938.0</v>
      </c>
      <c r="L458" s="7">
        <v>5019.77</v>
      </c>
      <c r="M458" s="7">
        <v>6639.0</v>
      </c>
      <c r="N458" s="7">
        <v>0.756</v>
      </c>
      <c r="O458" s="8">
        <v>5377.0</v>
      </c>
      <c r="P458" s="7">
        <v>7133.4</v>
      </c>
      <c r="Q458" s="7">
        <v>5071870.0</v>
      </c>
      <c r="R458" s="7">
        <v>1.41</v>
      </c>
      <c r="S458" s="7">
        <v>12321.0</v>
      </c>
      <c r="T458" s="7">
        <v>339.21</v>
      </c>
      <c r="U458" s="7">
        <v>6070.0</v>
      </c>
      <c r="V458" s="7">
        <v>0.06</v>
      </c>
      <c r="W458" s="7">
        <v>1098.0</v>
      </c>
      <c r="X458" s="7">
        <v>1247.0</v>
      </c>
      <c r="Y458" s="7">
        <v>909993.0</v>
      </c>
      <c r="Z458" s="7">
        <v>1.37</v>
      </c>
      <c r="AA458" s="7">
        <v>1327.0</v>
      </c>
      <c r="AB458" s="7"/>
      <c r="AC458" s="7"/>
      <c r="AD458" s="7"/>
    </row>
    <row r="459" ht="15.75" customHeight="1">
      <c r="A459" s="6">
        <v>45019.0</v>
      </c>
      <c r="B459" s="7">
        <f t="shared" si="1"/>
        <v>3</v>
      </c>
      <c r="C459" s="7">
        <f t="shared" si="2"/>
        <v>4</v>
      </c>
      <c r="D459" s="7">
        <v>13461.16</v>
      </c>
      <c r="E459" s="7">
        <v>14115.0</v>
      </c>
      <c r="F459" s="7">
        <v>23671.0</v>
      </c>
      <c r="G459" s="7">
        <v>37786.0</v>
      </c>
      <c r="H459" s="7">
        <v>909.29</v>
      </c>
      <c r="I459" s="7">
        <v>7241.0</v>
      </c>
      <c r="J459" s="7">
        <v>0.126</v>
      </c>
      <c r="K459" s="7">
        <v>6015.0</v>
      </c>
      <c r="L459" s="7">
        <v>4667.02</v>
      </c>
      <c r="M459" s="7">
        <v>5815.0</v>
      </c>
      <c r="N459" s="7">
        <v>0.803</v>
      </c>
      <c r="O459" s="8">
        <v>4819.0</v>
      </c>
      <c r="P459" s="7">
        <v>6317.82</v>
      </c>
      <c r="Q459" s="7">
        <v>4617000.0</v>
      </c>
      <c r="R459" s="7">
        <v>1.37</v>
      </c>
      <c r="S459" s="7">
        <v>10333.0</v>
      </c>
      <c r="T459" s="7">
        <v>320.59</v>
      </c>
      <c r="U459" s="7">
        <v>4623.0</v>
      </c>
      <c r="V459" s="7">
        <v>0.07</v>
      </c>
      <c r="W459" s="7">
        <v>1440.0</v>
      </c>
      <c r="X459" s="7">
        <v>1246.44</v>
      </c>
      <c r="Y459" s="7">
        <v>949025.0</v>
      </c>
      <c r="Z459" s="7">
        <v>1.31</v>
      </c>
      <c r="AA459" s="7">
        <v>1136.0</v>
      </c>
      <c r="AB459" s="7"/>
      <c r="AC459" s="7"/>
      <c r="AD459" s="7"/>
    </row>
    <row r="460" ht="15.75" customHeight="1">
      <c r="A460" s="6">
        <v>45020.0</v>
      </c>
      <c r="B460" s="7">
        <f t="shared" si="1"/>
        <v>4</v>
      </c>
      <c r="C460" s="7">
        <f t="shared" si="2"/>
        <v>4</v>
      </c>
      <c r="D460" s="7">
        <v>12342.13</v>
      </c>
      <c r="E460" s="7">
        <v>14228.0</v>
      </c>
      <c r="F460" s="7">
        <v>21770.0</v>
      </c>
      <c r="G460" s="7">
        <v>35998.0</v>
      </c>
      <c r="H460" s="7">
        <v>973.29</v>
      </c>
      <c r="I460" s="7">
        <v>7169.0</v>
      </c>
      <c r="J460" s="7">
        <v>0.136</v>
      </c>
      <c r="K460" s="7">
        <v>5964.0</v>
      </c>
      <c r="L460" s="7">
        <v>4502.02</v>
      </c>
      <c r="M460" s="7">
        <v>5488.0</v>
      </c>
      <c r="N460" s="7">
        <v>0.82</v>
      </c>
      <c r="O460" s="8">
        <v>4516.0</v>
      </c>
      <c r="P460" s="7">
        <v>5412.71</v>
      </c>
      <c r="Q460" s="7">
        <v>3652737.0</v>
      </c>
      <c r="R460" s="7">
        <v>1.48</v>
      </c>
      <c r="S460" s="7">
        <v>9128.0</v>
      </c>
      <c r="T460" s="7">
        <v>206.79</v>
      </c>
      <c r="U460" s="7">
        <v>3311.0</v>
      </c>
      <c r="V460" s="7">
        <v>0.06</v>
      </c>
      <c r="W460" s="7">
        <v>1316.0</v>
      </c>
      <c r="X460" s="7">
        <v>1247.32</v>
      </c>
      <c r="Y460" s="7">
        <v>888471.0</v>
      </c>
      <c r="Z460" s="7">
        <v>1.4</v>
      </c>
      <c r="AA460" s="7">
        <v>1078.0</v>
      </c>
      <c r="AB460" s="7"/>
      <c r="AC460" s="7"/>
      <c r="AD460" s="7"/>
    </row>
    <row r="461" ht="15.75" customHeight="1">
      <c r="A461" s="6">
        <v>45021.0</v>
      </c>
      <c r="B461" s="7">
        <f t="shared" si="1"/>
        <v>5</v>
      </c>
      <c r="C461" s="7">
        <f t="shared" si="2"/>
        <v>4</v>
      </c>
      <c r="D461" s="7">
        <v>12398.53</v>
      </c>
      <c r="E461" s="7">
        <v>13147.0</v>
      </c>
      <c r="F461" s="7">
        <v>20430.0</v>
      </c>
      <c r="G461" s="7">
        <v>33577.0</v>
      </c>
      <c r="H461" s="7">
        <v>775.92</v>
      </c>
      <c r="I461" s="7">
        <v>6267.0</v>
      </c>
      <c r="J461" s="7">
        <v>0.124</v>
      </c>
      <c r="K461" s="7">
        <v>5513.0</v>
      </c>
      <c r="L461" s="7">
        <v>4891.0</v>
      </c>
      <c r="M461" s="7">
        <v>5453.0</v>
      </c>
      <c r="N461" s="7">
        <v>0.897</v>
      </c>
      <c r="O461" s="8">
        <v>4434.0</v>
      </c>
      <c r="P461" s="7">
        <v>5216.79</v>
      </c>
      <c r="Q461" s="7">
        <v>3306043.0</v>
      </c>
      <c r="R461" s="7">
        <v>1.58</v>
      </c>
      <c r="S461" s="7">
        <v>8528.0</v>
      </c>
      <c r="T461" s="7">
        <v>268.14</v>
      </c>
      <c r="U461" s="7">
        <v>4266.0</v>
      </c>
      <c r="V461" s="7">
        <v>0.06</v>
      </c>
      <c r="W461" s="7">
        <v>1197.0</v>
      </c>
      <c r="X461" s="7">
        <v>1246.68</v>
      </c>
      <c r="Y461" s="7">
        <v>1078676.0</v>
      </c>
      <c r="Z461" s="7">
        <v>1.16</v>
      </c>
      <c r="AA461" s="7">
        <v>894.0</v>
      </c>
      <c r="AB461" s="7"/>
      <c r="AC461" s="7"/>
      <c r="AD461" s="7"/>
    </row>
    <row r="462" ht="15.75" customHeight="1">
      <c r="A462" s="6">
        <v>45022.0</v>
      </c>
      <c r="B462" s="7">
        <f t="shared" si="1"/>
        <v>6</v>
      </c>
      <c r="C462" s="7">
        <f t="shared" si="2"/>
        <v>4</v>
      </c>
      <c r="D462" s="7">
        <v>12414.66</v>
      </c>
      <c r="E462" s="7">
        <v>13612.0</v>
      </c>
      <c r="F462" s="7">
        <v>22470.0</v>
      </c>
      <c r="G462" s="7">
        <v>36082.0</v>
      </c>
      <c r="H462" s="7">
        <v>971.9</v>
      </c>
      <c r="I462" s="7">
        <v>7739.0</v>
      </c>
      <c r="J462" s="7">
        <v>0.126</v>
      </c>
      <c r="K462" s="7">
        <v>6348.0</v>
      </c>
      <c r="L462" s="7">
        <v>5104.05</v>
      </c>
      <c r="M462" s="7">
        <v>5248.0</v>
      </c>
      <c r="N462" s="7">
        <v>0.973</v>
      </c>
      <c r="O462" s="8">
        <v>4262.0</v>
      </c>
      <c r="P462" s="7">
        <v>5294.15</v>
      </c>
      <c r="Q462" s="7">
        <v>3206581.0</v>
      </c>
      <c r="R462" s="7">
        <v>1.65</v>
      </c>
      <c r="S462" s="7">
        <v>9961.0</v>
      </c>
      <c r="T462" s="7">
        <v>224.56</v>
      </c>
      <c r="U462" s="7">
        <v>2984.0</v>
      </c>
      <c r="V462" s="7">
        <v>0.08</v>
      </c>
      <c r="W462" s="7">
        <v>1067.0</v>
      </c>
      <c r="X462" s="7">
        <v>820.0</v>
      </c>
      <c r="Y462" s="7">
        <v>576854.0</v>
      </c>
      <c r="Z462" s="7">
        <v>1.42</v>
      </c>
      <c r="AA462" s="7">
        <v>884.0</v>
      </c>
      <c r="AB462" s="7"/>
      <c r="AC462" s="7"/>
      <c r="AD462" s="7"/>
    </row>
    <row r="463" ht="15.75" customHeight="1">
      <c r="A463" s="6">
        <v>45023.0</v>
      </c>
      <c r="B463" s="7">
        <f t="shared" si="1"/>
        <v>7</v>
      </c>
      <c r="C463" s="7">
        <f t="shared" si="2"/>
        <v>4</v>
      </c>
      <c r="D463" s="7">
        <v>12254.09</v>
      </c>
      <c r="E463" s="7">
        <v>13882.0</v>
      </c>
      <c r="F463" s="7">
        <v>21684.0</v>
      </c>
      <c r="G463" s="7">
        <v>35566.0</v>
      </c>
      <c r="H463" s="7">
        <v>1016.98</v>
      </c>
      <c r="I463" s="7">
        <v>7345.0</v>
      </c>
      <c r="J463" s="7">
        <v>0.138</v>
      </c>
      <c r="K463" s="7">
        <v>6191.0</v>
      </c>
      <c r="L463" s="7">
        <v>4984.16</v>
      </c>
      <c r="M463" s="7">
        <v>5364.0</v>
      </c>
      <c r="N463" s="7">
        <v>0.929</v>
      </c>
      <c r="O463" s="8">
        <v>4224.0</v>
      </c>
      <c r="P463" s="7">
        <v>5420.11</v>
      </c>
      <c r="Q463" s="7">
        <v>3355238.0</v>
      </c>
      <c r="R463" s="7">
        <v>1.62</v>
      </c>
      <c r="S463" s="7">
        <v>9656.0</v>
      </c>
      <c r="T463" s="7">
        <v>283.1</v>
      </c>
      <c r="U463" s="7">
        <v>3868.0</v>
      </c>
      <c r="V463" s="7">
        <v>0.07</v>
      </c>
      <c r="W463" s="7">
        <v>938.0</v>
      </c>
      <c r="X463" s="7">
        <v>549.74</v>
      </c>
      <c r="Y463" s="7">
        <v>348940.0</v>
      </c>
      <c r="Z463" s="7">
        <v>1.58</v>
      </c>
      <c r="AA463" s="7">
        <v>605.0</v>
      </c>
      <c r="AB463" s="7"/>
      <c r="AC463" s="7"/>
      <c r="AD463" s="7"/>
    </row>
    <row r="464" ht="15.75" customHeight="1">
      <c r="A464" s="6">
        <v>45024.0</v>
      </c>
      <c r="B464" s="7">
        <f t="shared" si="1"/>
        <v>8</v>
      </c>
      <c r="C464" s="7">
        <f t="shared" si="2"/>
        <v>4</v>
      </c>
      <c r="D464" s="7">
        <v>12167.94</v>
      </c>
      <c r="E464" s="7">
        <v>11960.0</v>
      </c>
      <c r="F464" s="7">
        <v>21272.0</v>
      </c>
      <c r="G464" s="7">
        <v>33232.0</v>
      </c>
      <c r="H464" s="7">
        <v>966.22</v>
      </c>
      <c r="I464" s="7">
        <v>6931.0</v>
      </c>
      <c r="J464" s="7">
        <v>0.139</v>
      </c>
      <c r="K464" s="7">
        <v>5763.0</v>
      </c>
      <c r="L464" s="7">
        <v>4787.38</v>
      </c>
      <c r="M464" s="7">
        <v>5225.0</v>
      </c>
      <c r="N464" s="7">
        <v>0.916</v>
      </c>
      <c r="O464" s="8">
        <v>4210.0</v>
      </c>
      <c r="P464" s="7">
        <v>5609.53</v>
      </c>
      <c r="Q464" s="7">
        <v>3636178.0</v>
      </c>
      <c r="R464" s="7">
        <v>1.54</v>
      </c>
      <c r="S464" s="7">
        <v>10008.0</v>
      </c>
      <c r="T464" s="7">
        <v>255.86</v>
      </c>
      <c r="U464" s="7">
        <v>3565.0</v>
      </c>
      <c r="V464" s="7">
        <v>0.07</v>
      </c>
      <c r="W464" s="7">
        <v>965.0</v>
      </c>
      <c r="X464" s="7">
        <v>548.95</v>
      </c>
      <c r="Y464" s="7">
        <v>338705.0</v>
      </c>
      <c r="Z464" s="7">
        <v>1.62</v>
      </c>
      <c r="AA464" s="7">
        <v>661.0</v>
      </c>
      <c r="AB464" s="7"/>
      <c r="AC464" s="7"/>
      <c r="AD464" s="7"/>
    </row>
    <row r="465" ht="15.75" customHeight="1">
      <c r="A465" s="6">
        <v>45025.0</v>
      </c>
      <c r="B465" s="7">
        <f t="shared" si="1"/>
        <v>9</v>
      </c>
      <c r="C465" s="7">
        <f t="shared" si="2"/>
        <v>4</v>
      </c>
      <c r="D465" s="7">
        <v>12900.86</v>
      </c>
      <c r="E465" s="7">
        <v>12134.0</v>
      </c>
      <c r="F465" s="7">
        <v>24394.0</v>
      </c>
      <c r="G465" s="7">
        <v>36528.0</v>
      </c>
      <c r="H465" s="7">
        <v>959.16</v>
      </c>
      <c r="I465" s="7">
        <v>7652.0</v>
      </c>
      <c r="J465" s="7">
        <v>0.125</v>
      </c>
      <c r="K465" s="7">
        <v>6456.0</v>
      </c>
      <c r="L465" s="7">
        <v>4789.34</v>
      </c>
      <c r="M465" s="7">
        <v>5766.0</v>
      </c>
      <c r="N465" s="7">
        <v>0.831</v>
      </c>
      <c r="O465" s="8">
        <v>4547.0</v>
      </c>
      <c r="P465" s="7">
        <v>6389.37</v>
      </c>
      <c r="Q465" s="7">
        <v>4583519.0</v>
      </c>
      <c r="R465" s="7">
        <v>1.39</v>
      </c>
      <c r="S465" s="7">
        <v>11839.0</v>
      </c>
      <c r="T465" s="7">
        <v>214.09</v>
      </c>
      <c r="U465" s="7">
        <v>3635.0</v>
      </c>
      <c r="V465" s="7">
        <v>0.06</v>
      </c>
      <c r="W465" s="7">
        <v>1056.0</v>
      </c>
      <c r="X465" s="7">
        <v>548.9</v>
      </c>
      <c r="Y465" s="7">
        <v>377912.0</v>
      </c>
      <c r="Z465" s="7">
        <v>1.45</v>
      </c>
      <c r="AA465" s="7">
        <v>699.0</v>
      </c>
      <c r="AB465" s="7"/>
      <c r="AC465" s="7"/>
      <c r="AD465" s="7"/>
    </row>
    <row r="466" ht="15.75" customHeight="1">
      <c r="A466" s="6">
        <v>45026.0</v>
      </c>
      <c r="B466" s="7">
        <f t="shared" si="1"/>
        <v>10</v>
      </c>
      <c r="C466" s="7">
        <f t="shared" si="2"/>
        <v>4</v>
      </c>
      <c r="D466" s="7">
        <v>12624.32</v>
      </c>
      <c r="E466" s="7">
        <v>12851.0</v>
      </c>
      <c r="F466" s="7">
        <v>26311.0</v>
      </c>
      <c r="G466" s="7">
        <v>39162.0</v>
      </c>
      <c r="H466" s="7">
        <v>798.98</v>
      </c>
      <c r="I466" s="7">
        <v>7629.0</v>
      </c>
      <c r="J466" s="7">
        <v>0.105</v>
      </c>
      <c r="K466" s="7">
        <v>6252.0</v>
      </c>
      <c r="L466" s="7">
        <v>4844.42</v>
      </c>
      <c r="M466" s="7">
        <v>6114.0</v>
      </c>
      <c r="N466" s="7">
        <v>0.792</v>
      </c>
      <c r="O466" s="8">
        <v>4996.0</v>
      </c>
      <c r="P466" s="7">
        <v>6109.12</v>
      </c>
      <c r="Q466" s="7">
        <v>4921463.0</v>
      </c>
      <c r="R466" s="7">
        <v>1.24</v>
      </c>
      <c r="S466" s="7">
        <v>12747.0</v>
      </c>
      <c r="T466" s="7">
        <v>323.28</v>
      </c>
      <c r="U466" s="7">
        <v>4572.0</v>
      </c>
      <c r="V466" s="7">
        <v>0.07</v>
      </c>
      <c r="W466" s="7">
        <v>1283.0</v>
      </c>
      <c r="X466" s="7">
        <v>548.52</v>
      </c>
      <c r="Y466" s="7">
        <v>378597.0</v>
      </c>
      <c r="Z466" s="7">
        <v>1.45</v>
      </c>
      <c r="AA466" s="7">
        <v>670.0</v>
      </c>
      <c r="AB466" s="7"/>
      <c r="AC466" s="7"/>
      <c r="AD466" s="7"/>
    </row>
    <row r="467" ht="15.75" customHeight="1">
      <c r="A467" s="6">
        <v>45027.0</v>
      </c>
      <c r="B467" s="7">
        <f t="shared" si="1"/>
        <v>11</v>
      </c>
      <c r="C467" s="7">
        <f t="shared" si="2"/>
        <v>4</v>
      </c>
      <c r="D467" s="7">
        <v>12515.96</v>
      </c>
      <c r="E467" s="7">
        <v>19300.0</v>
      </c>
      <c r="F467" s="7">
        <v>26551.0</v>
      </c>
      <c r="G467" s="7">
        <v>45851.0</v>
      </c>
      <c r="H467" s="7">
        <v>1192.23</v>
      </c>
      <c r="I467" s="7">
        <v>9318.0</v>
      </c>
      <c r="J467" s="7">
        <v>0.128</v>
      </c>
      <c r="K467" s="7">
        <v>7660.0</v>
      </c>
      <c r="L467" s="7">
        <v>4973.31</v>
      </c>
      <c r="M467" s="7">
        <v>6130.0</v>
      </c>
      <c r="N467" s="7">
        <v>0.811</v>
      </c>
      <c r="O467" s="8">
        <v>5408.0</v>
      </c>
      <c r="P467" s="7">
        <v>5823.42</v>
      </c>
      <c r="Q467" s="7">
        <v>4729748.0</v>
      </c>
      <c r="R467" s="7">
        <v>1.23</v>
      </c>
      <c r="S467" s="7">
        <v>12244.0</v>
      </c>
      <c r="T467" s="7">
        <v>333.56</v>
      </c>
      <c r="U467" s="7">
        <v>5390.0</v>
      </c>
      <c r="V467" s="7">
        <v>0.06</v>
      </c>
      <c r="W467" s="7">
        <v>1566.0</v>
      </c>
      <c r="X467" s="7">
        <v>193.44</v>
      </c>
      <c r="Y467" s="7">
        <v>137715.0</v>
      </c>
      <c r="Z467" s="7">
        <v>1.4</v>
      </c>
      <c r="AA467" s="7">
        <v>330.0</v>
      </c>
      <c r="AB467" s="7"/>
      <c r="AC467" s="7"/>
      <c r="AD467" s="7"/>
    </row>
    <row r="468" ht="15.75" customHeight="1">
      <c r="A468" s="6">
        <v>45028.0</v>
      </c>
      <c r="B468" s="7">
        <f t="shared" si="1"/>
        <v>12</v>
      </c>
      <c r="C468" s="7">
        <f t="shared" si="2"/>
        <v>4</v>
      </c>
      <c r="D468" s="7">
        <v>12486.57</v>
      </c>
      <c r="E468" s="7">
        <v>17147.0</v>
      </c>
      <c r="F468" s="7">
        <v>26053.0</v>
      </c>
      <c r="G468" s="7">
        <v>43200.0</v>
      </c>
      <c r="H468" s="7">
        <v>906.78</v>
      </c>
      <c r="I468" s="7">
        <v>7807.0</v>
      </c>
      <c r="J468" s="7">
        <v>0.116</v>
      </c>
      <c r="K468" s="7">
        <v>6649.0</v>
      </c>
      <c r="L468" s="7">
        <v>4697.37</v>
      </c>
      <c r="M468" s="7">
        <v>5798.0</v>
      </c>
      <c r="N468" s="7">
        <v>0.81</v>
      </c>
      <c r="O468" s="8">
        <v>4863.0</v>
      </c>
      <c r="P468" s="7">
        <v>6419.63</v>
      </c>
      <c r="Q468" s="7">
        <v>4656288.0</v>
      </c>
      <c r="R468" s="7">
        <v>1.38</v>
      </c>
      <c r="S468" s="7">
        <v>12788.0</v>
      </c>
      <c r="T468" s="7">
        <v>238.54</v>
      </c>
      <c r="U468" s="7">
        <v>4064.0</v>
      </c>
      <c r="V468" s="7">
        <v>0.06</v>
      </c>
      <c r="W468" s="7">
        <v>1415.0</v>
      </c>
      <c r="X468" s="7">
        <v>224.25</v>
      </c>
      <c r="Y468" s="7">
        <v>162096.0</v>
      </c>
      <c r="Z468" s="7">
        <v>1.38</v>
      </c>
      <c r="AA468" s="7">
        <v>394.0</v>
      </c>
      <c r="AB468" s="7"/>
      <c r="AC468" s="7"/>
      <c r="AD468" s="7"/>
    </row>
    <row r="469" ht="15.75" customHeight="1">
      <c r="A469" s="6">
        <v>45029.0</v>
      </c>
      <c r="B469" s="7">
        <f t="shared" si="1"/>
        <v>13</v>
      </c>
      <c r="C469" s="7">
        <f t="shared" si="2"/>
        <v>4</v>
      </c>
      <c r="D469" s="7">
        <v>12347.59</v>
      </c>
      <c r="E469" s="7">
        <v>15086.0</v>
      </c>
      <c r="F469" s="7">
        <v>26206.0</v>
      </c>
      <c r="G469" s="7">
        <v>41292.0</v>
      </c>
      <c r="H469" s="7">
        <v>923.48</v>
      </c>
      <c r="I469" s="7">
        <v>8007.0</v>
      </c>
      <c r="J469" s="7">
        <v>0.115</v>
      </c>
      <c r="K469" s="7">
        <v>6762.0</v>
      </c>
      <c r="L469" s="7">
        <v>4010.79</v>
      </c>
      <c r="M469" s="7">
        <v>5287.0</v>
      </c>
      <c r="N469" s="7">
        <v>0.759</v>
      </c>
      <c r="O469" s="8">
        <v>4568.0</v>
      </c>
      <c r="P469" s="7">
        <v>6915.46</v>
      </c>
      <c r="Q469" s="7">
        <v>4739758.0</v>
      </c>
      <c r="R469" s="7">
        <v>1.46</v>
      </c>
      <c r="S469" s="7">
        <v>12778.0</v>
      </c>
      <c r="T469" s="7">
        <v>248.77</v>
      </c>
      <c r="U469" s="7">
        <v>3965.0</v>
      </c>
      <c r="V469" s="7">
        <v>0.06</v>
      </c>
      <c r="W469" s="7">
        <v>1510.0</v>
      </c>
      <c r="X469" s="7">
        <v>249.09</v>
      </c>
      <c r="Y469" s="7">
        <v>168176.0</v>
      </c>
      <c r="Z469" s="7">
        <v>1.48</v>
      </c>
      <c r="AA469" s="7">
        <v>385.0</v>
      </c>
      <c r="AB469" s="7"/>
      <c r="AC469" s="7"/>
      <c r="AD469" s="7"/>
    </row>
    <row r="470" ht="15.75" customHeight="1">
      <c r="A470" s="6">
        <v>45030.0</v>
      </c>
      <c r="B470" s="7">
        <f t="shared" si="1"/>
        <v>14</v>
      </c>
      <c r="C470" s="7">
        <f t="shared" si="2"/>
        <v>4</v>
      </c>
      <c r="D470" s="7">
        <v>12083.57</v>
      </c>
      <c r="E470" s="7">
        <v>19072.0</v>
      </c>
      <c r="F470" s="7">
        <v>17982.0</v>
      </c>
      <c r="G470" s="7">
        <v>37054.0</v>
      </c>
      <c r="H470" s="7">
        <v>1028.01</v>
      </c>
      <c r="I470" s="7">
        <v>7203.0</v>
      </c>
      <c r="J470" s="7">
        <v>0.143</v>
      </c>
      <c r="K470" s="7">
        <v>4793.0</v>
      </c>
      <c r="L470" s="7">
        <v>3760.9</v>
      </c>
      <c r="M470" s="7">
        <v>4641.0</v>
      </c>
      <c r="N470" s="7">
        <v>0.81</v>
      </c>
      <c r="O470" s="8">
        <v>3067.0</v>
      </c>
      <c r="P470" s="7">
        <v>6777.45</v>
      </c>
      <c r="Q470" s="7">
        <v>4252344.0</v>
      </c>
      <c r="R470" s="7">
        <v>1.59</v>
      </c>
      <c r="S470" s="7">
        <v>8779.0</v>
      </c>
      <c r="T470" s="7">
        <v>231.27</v>
      </c>
      <c r="U470" s="7">
        <v>3265.0</v>
      </c>
      <c r="V470" s="7">
        <v>0.07</v>
      </c>
      <c r="W470" s="7">
        <v>1096.0</v>
      </c>
      <c r="X470" s="7">
        <v>285.94</v>
      </c>
      <c r="Y470" s="7">
        <v>194865.0</v>
      </c>
      <c r="Z470" s="7">
        <v>1.47</v>
      </c>
      <c r="AA470" s="7">
        <v>250.0</v>
      </c>
      <c r="AB470" s="7"/>
      <c r="AC470" s="7"/>
      <c r="AD470" s="7"/>
    </row>
    <row r="471" ht="15.75" customHeight="1">
      <c r="A471" s="6">
        <v>45031.0</v>
      </c>
      <c r="B471" s="7">
        <f t="shared" si="1"/>
        <v>15</v>
      </c>
      <c r="C471" s="7">
        <f t="shared" si="2"/>
        <v>4</v>
      </c>
      <c r="D471" s="7">
        <v>14827.04</v>
      </c>
      <c r="E471" s="7">
        <v>15893.0</v>
      </c>
      <c r="F471" s="7">
        <v>23400.0</v>
      </c>
      <c r="G471" s="7">
        <v>39293.0</v>
      </c>
      <c r="H471" s="7">
        <v>926.83</v>
      </c>
      <c r="I471" s="7">
        <v>6934.0</v>
      </c>
      <c r="J471" s="7">
        <v>0.134</v>
      </c>
      <c r="K471" s="7">
        <v>5335.0</v>
      </c>
      <c r="L471" s="7">
        <v>5740.84</v>
      </c>
      <c r="M471" s="7">
        <v>6786.0</v>
      </c>
      <c r="N471" s="7">
        <v>0.846</v>
      </c>
      <c r="O471" s="8">
        <v>4355.0</v>
      </c>
      <c r="P471" s="7">
        <v>7641.96</v>
      </c>
      <c r="Q471" s="7">
        <v>4774280.0</v>
      </c>
      <c r="R471" s="7">
        <v>1.6</v>
      </c>
      <c r="S471" s="7">
        <v>11863.0</v>
      </c>
      <c r="T471" s="7">
        <v>210.32</v>
      </c>
      <c r="U471" s="7">
        <v>3526.0</v>
      </c>
      <c r="V471" s="7">
        <v>0.06</v>
      </c>
      <c r="W471" s="7">
        <v>1326.0</v>
      </c>
      <c r="X471" s="7">
        <v>307.09</v>
      </c>
      <c r="Y471" s="7">
        <v>248078.0</v>
      </c>
      <c r="Z471" s="7">
        <v>1.24</v>
      </c>
      <c r="AA471" s="7">
        <v>365.0</v>
      </c>
      <c r="AB471" s="7"/>
      <c r="AC471" s="7"/>
      <c r="AD471" s="7"/>
    </row>
    <row r="472" ht="15.75" customHeight="1">
      <c r="A472" s="6">
        <v>45032.0</v>
      </c>
      <c r="B472" s="7">
        <f t="shared" si="1"/>
        <v>16</v>
      </c>
      <c r="C472" s="7">
        <f t="shared" si="2"/>
        <v>4</v>
      </c>
      <c r="D472" s="7">
        <v>16088.84</v>
      </c>
      <c r="E472" s="7">
        <v>15620.0</v>
      </c>
      <c r="F472" s="7">
        <v>29438.0</v>
      </c>
      <c r="G472" s="7">
        <v>45058.0</v>
      </c>
      <c r="H472" s="7">
        <v>1048.58</v>
      </c>
      <c r="I472" s="7">
        <v>8519.0</v>
      </c>
      <c r="J472" s="7">
        <v>0.123</v>
      </c>
      <c r="K472" s="7">
        <v>6829.0</v>
      </c>
      <c r="L472" s="7">
        <v>6571.69</v>
      </c>
      <c r="M472" s="7">
        <v>7935.0</v>
      </c>
      <c r="N472" s="7">
        <v>0.828</v>
      </c>
      <c r="O472" s="8">
        <v>5991.0</v>
      </c>
      <c r="P472" s="7">
        <v>7941.76</v>
      </c>
      <c r="Q472" s="7">
        <v>5387877.0</v>
      </c>
      <c r="R472" s="7">
        <v>1.47</v>
      </c>
      <c r="S472" s="7">
        <v>14463.0</v>
      </c>
      <c r="T472" s="7">
        <v>227.1</v>
      </c>
      <c r="U472" s="7">
        <v>4467.0</v>
      </c>
      <c r="V472" s="7">
        <v>0.05</v>
      </c>
      <c r="W472" s="7">
        <v>1639.0</v>
      </c>
      <c r="X472" s="7">
        <v>299.71</v>
      </c>
      <c r="Y472" s="7">
        <v>223226.0</v>
      </c>
      <c r="Z472" s="7">
        <v>1.34</v>
      </c>
      <c r="AA472" s="7">
        <v>449.0</v>
      </c>
      <c r="AB472" s="7"/>
      <c r="AC472" s="7"/>
      <c r="AD472" s="7"/>
    </row>
    <row r="473" ht="15.75" customHeight="1">
      <c r="A473" s="6">
        <v>45033.0</v>
      </c>
      <c r="B473" s="7">
        <f t="shared" si="1"/>
        <v>17</v>
      </c>
      <c r="C473" s="7">
        <f t="shared" si="2"/>
        <v>4</v>
      </c>
      <c r="D473" s="7">
        <v>14853.92</v>
      </c>
      <c r="E473" s="7">
        <v>16565.0</v>
      </c>
      <c r="F473" s="7">
        <v>22990.0</v>
      </c>
      <c r="G473" s="7">
        <v>39555.0</v>
      </c>
      <c r="H473" s="7">
        <v>950.34</v>
      </c>
      <c r="I473" s="7">
        <v>7361.0</v>
      </c>
      <c r="J473" s="7">
        <v>0.129</v>
      </c>
      <c r="K473" s="7">
        <v>5739.0</v>
      </c>
      <c r="L473" s="7">
        <v>5571.14</v>
      </c>
      <c r="M473" s="7">
        <v>6473.0</v>
      </c>
      <c r="N473" s="7">
        <v>0.861</v>
      </c>
      <c r="O473" s="8">
        <v>4708.0</v>
      </c>
      <c r="P473" s="7">
        <v>7674.91</v>
      </c>
      <c r="Q473" s="7">
        <v>5126233.0</v>
      </c>
      <c r="R473" s="7">
        <v>1.5</v>
      </c>
      <c r="S473" s="7">
        <v>11116.0</v>
      </c>
      <c r="T473" s="7">
        <v>357.79</v>
      </c>
      <c r="U473" s="7">
        <v>2534.0</v>
      </c>
      <c r="V473" s="7">
        <v>0.14</v>
      </c>
      <c r="W473" s="7">
        <v>1054.0</v>
      </c>
      <c r="X473" s="7">
        <v>299.74</v>
      </c>
      <c r="Y473" s="7">
        <v>238814.0</v>
      </c>
      <c r="Z473" s="7">
        <v>1.26</v>
      </c>
      <c r="AA473" s="7">
        <v>335.0</v>
      </c>
      <c r="AB473" s="7"/>
      <c r="AC473" s="7"/>
      <c r="AD473" s="7"/>
    </row>
    <row r="474" ht="15.75" customHeight="1">
      <c r="A474" s="6">
        <v>45034.0</v>
      </c>
      <c r="B474" s="7">
        <f t="shared" si="1"/>
        <v>18</v>
      </c>
      <c r="C474" s="7">
        <f t="shared" si="2"/>
        <v>4</v>
      </c>
      <c r="D474" s="7">
        <v>15350.03</v>
      </c>
      <c r="E474" s="7">
        <v>16163.0</v>
      </c>
      <c r="F474" s="7">
        <v>23304.0</v>
      </c>
      <c r="G474" s="7">
        <v>39467.0</v>
      </c>
      <c r="H474" s="7">
        <v>1017.12</v>
      </c>
      <c r="I474" s="7">
        <v>7283.0</v>
      </c>
      <c r="J474" s="7">
        <v>0.14</v>
      </c>
      <c r="K474" s="7">
        <v>5892.0</v>
      </c>
      <c r="L474" s="7">
        <v>5843.25</v>
      </c>
      <c r="M474" s="7">
        <v>6321.0</v>
      </c>
      <c r="N474" s="7">
        <v>0.924</v>
      </c>
      <c r="O474" s="8">
        <v>4896.0</v>
      </c>
      <c r="P474" s="7">
        <v>7770.69</v>
      </c>
      <c r="Q474" s="7">
        <v>4865998.0</v>
      </c>
      <c r="R474" s="7">
        <v>1.6</v>
      </c>
      <c r="S474" s="7">
        <v>11177.0</v>
      </c>
      <c r="T474" s="7">
        <v>418.94</v>
      </c>
      <c r="U474" s="7">
        <v>4206.0</v>
      </c>
      <c r="V474" s="7">
        <v>0.1</v>
      </c>
      <c r="W474" s="7">
        <v>1232.0</v>
      </c>
      <c r="X474" s="7">
        <v>300.03</v>
      </c>
      <c r="Y474" s="7">
        <v>221151.0</v>
      </c>
      <c r="Z474" s="7">
        <v>1.36</v>
      </c>
      <c r="AA474" s="7">
        <v>390.0</v>
      </c>
      <c r="AB474" s="7"/>
      <c r="AC474" s="7"/>
      <c r="AD474" s="7"/>
    </row>
    <row r="475" ht="15.75" customHeight="1">
      <c r="A475" s="6">
        <v>45035.0</v>
      </c>
      <c r="B475" s="7">
        <f t="shared" si="1"/>
        <v>19</v>
      </c>
      <c r="C475" s="7">
        <f t="shared" si="2"/>
        <v>4</v>
      </c>
      <c r="D475" s="7">
        <v>16237.58</v>
      </c>
      <c r="E475" s="7">
        <v>13206.0</v>
      </c>
      <c r="F475" s="7">
        <v>24252.0</v>
      </c>
      <c r="G475" s="7">
        <v>37458.0</v>
      </c>
      <c r="H475" s="7">
        <v>869.16</v>
      </c>
      <c r="I475" s="7">
        <v>6209.0</v>
      </c>
      <c r="J475" s="7">
        <v>0.14</v>
      </c>
      <c r="K475" s="7">
        <v>5389.0</v>
      </c>
      <c r="L475" s="7">
        <v>5900.58</v>
      </c>
      <c r="M475" s="7">
        <v>6304.0</v>
      </c>
      <c r="N475" s="7">
        <v>0.936</v>
      </c>
      <c r="O475" s="8">
        <v>4958.0</v>
      </c>
      <c r="P475" s="7">
        <v>8784.27</v>
      </c>
      <c r="Q475" s="7">
        <v>5071856.0</v>
      </c>
      <c r="R475" s="7">
        <v>1.73</v>
      </c>
      <c r="S475" s="7">
        <v>11891.0</v>
      </c>
      <c r="T475" s="7">
        <v>384.98</v>
      </c>
      <c r="U475" s="7">
        <v>2808.0</v>
      </c>
      <c r="V475" s="7">
        <v>0.14</v>
      </c>
      <c r="W475" s="7">
        <v>1270.0</v>
      </c>
      <c r="X475" s="7">
        <v>298.59</v>
      </c>
      <c r="Y475" s="7">
        <v>255341.0</v>
      </c>
      <c r="Z475" s="7">
        <v>1.17</v>
      </c>
      <c r="AA475" s="7">
        <v>412.0</v>
      </c>
      <c r="AB475" s="7"/>
      <c r="AC475" s="7"/>
      <c r="AD475" s="7"/>
    </row>
    <row r="476" ht="15.75" customHeight="1">
      <c r="A476" s="6">
        <v>45036.0</v>
      </c>
      <c r="B476" s="7">
        <f t="shared" si="1"/>
        <v>20</v>
      </c>
      <c r="C476" s="7">
        <f t="shared" si="2"/>
        <v>4</v>
      </c>
      <c r="D476" s="7">
        <v>16823.38</v>
      </c>
      <c r="E476" s="7">
        <v>13684.0</v>
      </c>
      <c r="F476" s="7">
        <v>28133.0</v>
      </c>
      <c r="G476" s="7">
        <v>41817.0</v>
      </c>
      <c r="H476" s="7">
        <v>947.23</v>
      </c>
      <c r="I476" s="7">
        <v>6400.0</v>
      </c>
      <c r="J476" s="7">
        <v>0.148</v>
      </c>
      <c r="K476" s="7">
        <v>5595.0</v>
      </c>
      <c r="L476" s="7">
        <v>5986.32</v>
      </c>
      <c r="M476" s="7">
        <v>5906.0</v>
      </c>
      <c r="N476" s="7">
        <v>1.014</v>
      </c>
      <c r="O476" s="8">
        <v>4709.0</v>
      </c>
      <c r="P476" s="7">
        <v>9210.39</v>
      </c>
      <c r="Q476" s="7">
        <v>4976640.0</v>
      </c>
      <c r="R476" s="7">
        <v>1.85</v>
      </c>
      <c r="S476" s="7">
        <v>15858.0</v>
      </c>
      <c r="T476" s="7">
        <v>380.22</v>
      </c>
      <c r="U476" s="7">
        <v>3027.0</v>
      </c>
      <c r="V476" s="7">
        <v>0.13</v>
      </c>
      <c r="W476" s="7">
        <v>1623.0</v>
      </c>
      <c r="X476" s="7">
        <v>299.22</v>
      </c>
      <c r="Y476" s="7">
        <v>237539.0</v>
      </c>
      <c r="Z476" s="7">
        <v>1.26</v>
      </c>
      <c r="AA476" s="7">
        <v>376.0</v>
      </c>
      <c r="AB476" s="7"/>
      <c r="AC476" s="7"/>
      <c r="AD476" s="7"/>
    </row>
    <row r="477" ht="15.75" customHeight="1">
      <c r="A477" s="6">
        <v>45037.0</v>
      </c>
      <c r="B477" s="7">
        <f t="shared" si="1"/>
        <v>21</v>
      </c>
      <c r="C477" s="7">
        <f t="shared" si="2"/>
        <v>4</v>
      </c>
      <c r="D477" s="7">
        <v>16645.76</v>
      </c>
      <c r="E477" s="7">
        <v>13045.0</v>
      </c>
      <c r="F477" s="7">
        <v>27694.0</v>
      </c>
      <c r="G477" s="7">
        <v>40739.0</v>
      </c>
      <c r="H477" s="7">
        <v>841.89</v>
      </c>
      <c r="I477" s="7">
        <v>6064.0</v>
      </c>
      <c r="J477" s="7">
        <v>0.139</v>
      </c>
      <c r="K477" s="7">
        <v>5234.0</v>
      </c>
      <c r="L477" s="7">
        <v>5486.32</v>
      </c>
      <c r="M477" s="7">
        <v>5575.0</v>
      </c>
      <c r="N477" s="7">
        <v>0.984</v>
      </c>
      <c r="O477" s="8">
        <v>4467.0</v>
      </c>
      <c r="P477" s="7">
        <v>9608.58</v>
      </c>
      <c r="Q477" s="7">
        <v>5189890.0</v>
      </c>
      <c r="R477" s="7">
        <v>1.85</v>
      </c>
      <c r="S477" s="7">
        <v>16490.0</v>
      </c>
      <c r="T477" s="7">
        <v>448.33</v>
      </c>
      <c r="U477" s="7">
        <v>3755.0</v>
      </c>
      <c r="V477" s="7">
        <v>0.12</v>
      </c>
      <c r="W477" s="7">
        <v>1782.0</v>
      </c>
      <c r="X477" s="7">
        <v>260.64</v>
      </c>
      <c r="Y477" s="7">
        <v>173074.0</v>
      </c>
      <c r="Z477" s="7">
        <v>1.51</v>
      </c>
      <c r="AA477" s="7">
        <v>407.0</v>
      </c>
      <c r="AB477" s="7"/>
      <c r="AC477" s="7"/>
      <c r="AD477" s="7"/>
    </row>
    <row r="478" ht="15.75" customHeight="1">
      <c r="A478" s="6">
        <v>45038.0</v>
      </c>
      <c r="B478" s="7">
        <f t="shared" si="1"/>
        <v>22</v>
      </c>
      <c r="C478" s="7">
        <f t="shared" si="2"/>
        <v>4</v>
      </c>
      <c r="D478" s="7">
        <v>17693.08</v>
      </c>
      <c r="E478" s="7">
        <v>12046.0</v>
      </c>
      <c r="F478" s="7">
        <v>32199.0</v>
      </c>
      <c r="G478" s="7">
        <v>44245.0</v>
      </c>
      <c r="H478" s="7">
        <v>920.1</v>
      </c>
      <c r="I478" s="7">
        <v>6218.0</v>
      </c>
      <c r="J478" s="7">
        <v>0.148</v>
      </c>
      <c r="K478" s="7">
        <v>5391.0</v>
      </c>
      <c r="L478" s="7">
        <v>6002.91</v>
      </c>
      <c r="M478" s="7">
        <v>6269.0</v>
      </c>
      <c r="N478" s="7">
        <v>0.958</v>
      </c>
      <c r="O478" s="8">
        <v>4949.0</v>
      </c>
      <c r="P478" s="7">
        <v>10105.76</v>
      </c>
      <c r="Q478" s="7">
        <v>5456309.0</v>
      </c>
      <c r="R478" s="7">
        <v>1.85</v>
      </c>
      <c r="S478" s="7">
        <v>18863.0</v>
      </c>
      <c r="T478" s="7">
        <v>351.82</v>
      </c>
      <c r="U478" s="7">
        <v>4308.0</v>
      </c>
      <c r="V478" s="7">
        <v>0.08</v>
      </c>
      <c r="W478" s="7">
        <v>1610.0</v>
      </c>
      <c r="X478" s="7">
        <v>312.49</v>
      </c>
      <c r="Y478" s="7">
        <v>207138.0</v>
      </c>
      <c r="Z478" s="7">
        <v>1.51</v>
      </c>
      <c r="AA478" s="7">
        <v>657.0</v>
      </c>
      <c r="AB478" s="7"/>
      <c r="AC478" s="7"/>
      <c r="AD478" s="7"/>
    </row>
    <row r="479" ht="15.75" customHeight="1">
      <c r="A479" s="6">
        <v>45039.0</v>
      </c>
      <c r="B479" s="7">
        <f t="shared" si="1"/>
        <v>23</v>
      </c>
      <c r="C479" s="7">
        <f t="shared" si="2"/>
        <v>4</v>
      </c>
      <c r="D479" s="7">
        <v>17790.02</v>
      </c>
      <c r="E479" s="7">
        <v>12638.0</v>
      </c>
      <c r="F479" s="7">
        <v>33666.0</v>
      </c>
      <c r="G479" s="7">
        <v>46304.0</v>
      </c>
      <c r="H479" s="7">
        <v>867.16</v>
      </c>
      <c r="I479" s="7">
        <v>7072.0</v>
      </c>
      <c r="J479" s="7">
        <v>0.123</v>
      </c>
      <c r="K479" s="7">
        <v>6204.0</v>
      </c>
      <c r="L479" s="7">
        <v>6215.93</v>
      </c>
      <c r="M479" s="7">
        <v>7190.0</v>
      </c>
      <c r="N479" s="7">
        <v>0.865</v>
      </c>
      <c r="O479" s="8">
        <v>5836.0</v>
      </c>
      <c r="P479" s="7">
        <v>10034.47</v>
      </c>
      <c r="Q479" s="7">
        <v>5951801.0</v>
      </c>
      <c r="R479" s="7">
        <v>1.69</v>
      </c>
      <c r="S479" s="7">
        <v>18440.0</v>
      </c>
      <c r="T479" s="7">
        <v>421.39</v>
      </c>
      <c r="U479" s="7">
        <v>5419.0</v>
      </c>
      <c r="V479" s="7">
        <v>0.08</v>
      </c>
      <c r="W479" s="7">
        <v>1934.0</v>
      </c>
      <c r="X479" s="7">
        <v>251.07</v>
      </c>
      <c r="Y479" s="7">
        <v>168875.0</v>
      </c>
      <c r="Z479" s="7">
        <v>1.49</v>
      </c>
      <c r="AA479" s="7">
        <v>601.0</v>
      </c>
      <c r="AB479" s="7"/>
      <c r="AC479" s="7"/>
      <c r="AD479" s="7"/>
    </row>
    <row r="480" ht="15.75" customHeight="1">
      <c r="A480" s="6">
        <v>45040.0</v>
      </c>
      <c r="B480" s="7">
        <f t="shared" si="1"/>
        <v>24</v>
      </c>
      <c r="C480" s="7">
        <f t="shared" si="2"/>
        <v>4</v>
      </c>
      <c r="D480" s="7">
        <v>17079.79</v>
      </c>
      <c r="E480" s="7">
        <v>14301.0</v>
      </c>
      <c r="F480" s="7">
        <v>33049.0</v>
      </c>
      <c r="G480" s="7">
        <v>47350.0</v>
      </c>
      <c r="H480" s="7">
        <v>1079.2</v>
      </c>
      <c r="I480" s="7">
        <v>7461.0</v>
      </c>
      <c r="J480" s="7">
        <v>0.145</v>
      </c>
      <c r="K480" s="7">
        <v>6506.0</v>
      </c>
      <c r="L480" s="7">
        <v>5859.32</v>
      </c>
      <c r="M480" s="7">
        <v>6787.0</v>
      </c>
      <c r="N480" s="7">
        <v>0.863</v>
      </c>
      <c r="O480" s="8">
        <v>5707.0</v>
      </c>
      <c r="P480" s="7">
        <v>9487.92</v>
      </c>
      <c r="Q480" s="7">
        <v>6454023.0</v>
      </c>
      <c r="R480" s="7">
        <v>1.47</v>
      </c>
      <c r="S480" s="7">
        <v>18986.0</v>
      </c>
      <c r="T480" s="7">
        <v>402.11</v>
      </c>
      <c r="U480" s="7">
        <v>4676.0</v>
      </c>
      <c r="V480" s="7">
        <v>0.09</v>
      </c>
      <c r="W480" s="7">
        <v>1984.0</v>
      </c>
      <c r="X480" s="7">
        <v>251.24</v>
      </c>
      <c r="Y480" s="7">
        <v>191267.0</v>
      </c>
      <c r="Z480" s="7">
        <v>1.31</v>
      </c>
      <c r="AA480" s="7">
        <v>513.0</v>
      </c>
      <c r="AB480" s="7"/>
      <c r="AC480" s="7"/>
      <c r="AD480" s="7"/>
    </row>
    <row r="481" ht="15.75" customHeight="1">
      <c r="A481" s="6">
        <v>45041.0</v>
      </c>
      <c r="B481" s="7">
        <f t="shared" si="1"/>
        <v>25</v>
      </c>
      <c r="C481" s="7">
        <f t="shared" si="2"/>
        <v>4</v>
      </c>
      <c r="D481" s="7">
        <v>17146.52</v>
      </c>
      <c r="E481" s="7">
        <v>14548.0</v>
      </c>
      <c r="F481" s="7">
        <v>38226.0</v>
      </c>
      <c r="G481" s="7">
        <v>52774.0</v>
      </c>
      <c r="H481" s="7">
        <v>1215.88</v>
      </c>
      <c r="I481" s="7">
        <v>7940.0</v>
      </c>
      <c r="J481" s="7">
        <v>0.153</v>
      </c>
      <c r="K481" s="7">
        <v>6898.0</v>
      </c>
      <c r="L481" s="7">
        <v>5829.68</v>
      </c>
      <c r="M481" s="7">
        <v>7013.0</v>
      </c>
      <c r="N481" s="7">
        <v>0.831</v>
      </c>
      <c r="O481" s="8">
        <v>5755.0</v>
      </c>
      <c r="P481" s="7">
        <v>9532.94</v>
      </c>
      <c r="Q481" s="7">
        <v>6588405.0</v>
      </c>
      <c r="R481" s="7">
        <v>1.45</v>
      </c>
      <c r="S481" s="7">
        <v>22365.0</v>
      </c>
      <c r="T481" s="7">
        <v>317.42</v>
      </c>
      <c r="U481" s="7">
        <v>5035.0</v>
      </c>
      <c r="V481" s="7">
        <v>0.06</v>
      </c>
      <c r="W481" s="7">
        <v>2212.0</v>
      </c>
      <c r="X481" s="7">
        <v>250.6</v>
      </c>
      <c r="Y481" s="7">
        <v>191129.0</v>
      </c>
      <c r="Z481" s="7">
        <v>1.31</v>
      </c>
      <c r="AA481" s="7">
        <v>579.0</v>
      </c>
      <c r="AB481" s="7"/>
      <c r="AC481" s="7"/>
      <c r="AD481" s="7"/>
    </row>
    <row r="482" ht="15.75" customHeight="1">
      <c r="A482" s="6">
        <v>45042.0</v>
      </c>
      <c r="B482" s="7">
        <f t="shared" si="1"/>
        <v>26</v>
      </c>
      <c r="C482" s="7">
        <f t="shared" si="2"/>
        <v>4</v>
      </c>
      <c r="D482" s="7">
        <v>16601.35</v>
      </c>
      <c r="E482" s="7">
        <v>16955.0</v>
      </c>
      <c r="F482" s="7">
        <v>31338.0</v>
      </c>
      <c r="G482" s="7">
        <v>48293.0</v>
      </c>
      <c r="H482" s="7">
        <v>1153.4</v>
      </c>
      <c r="I482" s="7">
        <v>7280.0</v>
      </c>
      <c r="J482" s="7">
        <v>0.158</v>
      </c>
      <c r="K482" s="7">
        <v>6222.0</v>
      </c>
      <c r="L482" s="7">
        <v>5770.34</v>
      </c>
      <c r="M482" s="7">
        <v>6296.0</v>
      </c>
      <c r="N482" s="7">
        <v>0.917</v>
      </c>
      <c r="O482" s="8">
        <v>5526.0</v>
      </c>
      <c r="P482" s="7">
        <v>9082.61</v>
      </c>
      <c r="Q482" s="7">
        <v>5852196.0</v>
      </c>
      <c r="R482" s="7">
        <v>1.55</v>
      </c>
      <c r="S482" s="7">
        <v>17021.0</v>
      </c>
      <c r="T482" s="7">
        <v>344.63</v>
      </c>
      <c r="U482" s="7">
        <v>4993.0</v>
      </c>
      <c r="V482" s="7">
        <v>0.07</v>
      </c>
      <c r="W482" s="7">
        <v>1854.0</v>
      </c>
      <c r="X482" s="7">
        <v>250.37</v>
      </c>
      <c r="Y482" s="7">
        <v>201251.0</v>
      </c>
      <c r="Z482" s="7">
        <v>1.24</v>
      </c>
      <c r="AA482" s="7">
        <v>426.0</v>
      </c>
      <c r="AB482" s="7"/>
      <c r="AC482" s="7"/>
      <c r="AD482" s="7"/>
    </row>
    <row r="483" ht="15.75" customHeight="1">
      <c r="A483" s="6">
        <v>45043.0</v>
      </c>
      <c r="B483" s="7">
        <f t="shared" si="1"/>
        <v>27</v>
      </c>
      <c r="C483" s="7">
        <f t="shared" si="2"/>
        <v>4</v>
      </c>
      <c r="D483" s="7">
        <v>15289.72</v>
      </c>
      <c r="E483" s="7">
        <v>18591.0</v>
      </c>
      <c r="F483" s="7">
        <v>27694.0</v>
      </c>
      <c r="G483" s="7">
        <v>46285.0</v>
      </c>
      <c r="H483" s="7">
        <v>1101.44</v>
      </c>
      <c r="I483" s="7">
        <v>7431.0</v>
      </c>
      <c r="J483" s="7">
        <v>0.148</v>
      </c>
      <c r="K483" s="7">
        <v>5937.0</v>
      </c>
      <c r="L483" s="7">
        <v>4858.63</v>
      </c>
      <c r="M483" s="7">
        <v>5597.0</v>
      </c>
      <c r="N483" s="7">
        <v>0.868</v>
      </c>
      <c r="O483" s="8">
        <v>4759.0</v>
      </c>
      <c r="P483" s="7">
        <v>8786.55</v>
      </c>
      <c r="Q483" s="7">
        <v>5282777.0</v>
      </c>
      <c r="R483" s="7">
        <v>1.66</v>
      </c>
      <c r="S483" s="7">
        <v>14956.0</v>
      </c>
      <c r="T483" s="7">
        <v>293.15</v>
      </c>
      <c r="U483" s="7">
        <v>3556.0</v>
      </c>
      <c r="V483" s="7">
        <v>0.08</v>
      </c>
      <c r="W483" s="7">
        <v>1569.0</v>
      </c>
      <c r="X483" s="7">
        <v>249.95</v>
      </c>
      <c r="Y483" s="7">
        <v>185424.0</v>
      </c>
      <c r="Z483" s="7">
        <v>1.35</v>
      </c>
      <c r="AA483" s="7">
        <v>445.0</v>
      </c>
      <c r="AB483" s="7"/>
      <c r="AC483" s="7"/>
      <c r="AD483" s="7"/>
    </row>
    <row r="484" ht="15.75" customHeight="1">
      <c r="A484" s="6">
        <v>45044.0</v>
      </c>
      <c r="B484" s="7">
        <f t="shared" si="1"/>
        <v>28</v>
      </c>
      <c r="C484" s="7">
        <f t="shared" si="2"/>
        <v>4</v>
      </c>
      <c r="D484" s="7">
        <v>14878.56</v>
      </c>
      <c r="E484" s="7">
        <v>13920.0</v>
      </c>
      <c r="F484" s="7">
        <v>26050.0</v>
      </c>
      <c r="G484" s="7">
        <v>39970.0</v>
      </c>
      <c r="H484" s="7">
        <v>1023.38</v>
      </c>
      <c r="I484" s="7">
        <v>6351.0</v>
      </c>
      <c r="J484" s="7">
        <v>0.161</v>
      </c>
      <c r="K484" s="7">
        <v>5203.0</v>
      </c>
      <c r="L484" s="7">
        <v>4582.98</v>
      </c>
      <c r="M484" s="7">
        <v>5174.0</v>
      </c>
      <c r="N484" s="7">
        <v>0.886</v>
      </c>
      <c r="O484" s="8">
        <v>4440.0</v>
      </c>
      <c r="P484" s="7">
        <v>8746.43</v>
      </c>
      <c r="Q484" s="7">
        <v>5073083.0</v>
      </c>
      <c r="R484" s="7">
        <v>1.72</v>
      </c>
      <c r="S484" s="7">
        <v>14123.0</v>
      </c>
      <c r="T484" s="7">
        <v>277.7</v>
      </c>
      <c r="U484" s="7">
        <v>3301.0</v>
      </c>
      <c r="V484" s="7">
        <v>0.08</v>
      </c>
      <c r="W484" s="7">
        <v>1705.0</v>
      </c>
      <c r="X484" s="7">
        <v>248.07</v>
      </c>
      <c r="Y484" s="7">
        <v>205750.0</v>
      </c>
      <c r="Z484" s="7">
        <v>1.21</v>
      </c>
      <c r="AA484" s="7">
        <v>425.0</v>
      </c>
      <c r="AB484" s="7"/>
      <c r="AC484" s="7"/>
      <c r="AD484" s="7"/>
    </row>
    <row r="485" ht="15.75" customHeight="1">
      <c r="A485" s="6">
        <v>45045.0</v>
      </c>
      <c r="B485" s="7">
        <f t="shared" si="1"/>
        <v>29</v>
      </c>
      <c r="C485" s="7">
        <f t="shared" si="2"/>
        <v>4</v>
      </c>
      <c r="D485" s="7">
        <v>17014.31</v>
      </c>
      <c r="E485" s="7">
        <v>13467.0</v>
      </c>
      <c r="F485" s="7">
        <v>28904.0</v>
      </c>
      <c r="G485" s="7">
        <v>42371.0</v>
      </c>
      <c r="H485" s="7">
        <v>1032.68</v>
      </c>
      <c r="I485" s="7">
        <v>6821.0</v>
      </c>
      <c r="J485" s="7">
        <v>0.151</v>
      </c>
      <c r="K485" s="7">
        <v>5271.0</v>
      </c>
      <c r="L485" s="7">
        <v>6159.14</v>
      </c>
      <c r="M485" s="7">
        <v>6923.0</v>
      </c>
      <c r="N485" s="7">
        <v>0.89</v>
      </c>
      <c r="O485" s="8">
        <v>5657.0</v>
      </c>
      <c r="P485" s="7">
        <v>9335.98</v>
      </c>
      <c r="Q485" s="7">
        <v>5270287.0</v>
      </c>
      <c r="R485" s="7">
        <v>1.77</v>
      </c>
      <c r="S485" s="7">
        <v>15853.0</v>
      </c>
      <c r="T485" s="7">
        <v>236.51</v>
      </c>
      <c r="U485" s="7">
        <v>4200.0</v>
      </c>
      <c r="V485" s="7">
        <v>0.06</v>
      </c>
      <c r="W485" s="7">
        <v>2086.0</v>
      </c>
      <c r="X485" s="7">
        <v>250.0</v>
      </c>
      <c r="Y485" s="7">
        <v>187938.0</v>
      </c>
      <c r="Z485" s="7">
        <v>1.33</v>
      </c>
      <c r="AA485" s="7">
        <v>424.0</v>
      </c>
      <c r="AB485" s="7"/>
      <c r="AC485" s="7"/>
      <c r="AD485" s="7"/>
    </row>
    <row r="486" ht="15.75" customHeight="1">
      <c r="A486" s="6">
        <v>45046.0</v>
      </c>
      <c r="B486" s="7">
        <f t="shared" si="1"/>
        <v>30</v>
      </c>
      <c r="C486" s="7">
        <f t="shared" si="2"/>
        <v>4</v>
      </c>
      <c r="D486" s="7">
        <v>18877.52</v>
      </c>
      <c r="E486" s="7">
        <v>14752.0</v>
      </c>
      <c r="F486" s="7">
        <v>32936.0</v>
      </c>
      <c r="G486" s="7">
        <v>47688.0</v>
      </c>
      <c r="H486" s="7">
        <v>1103.83</v>
      </c>
      <c r="I486" s="7">
        <v>7655.0</v>
      </c>
      <c r="J486" s="7">
        <v>0.144</v>
      </c>
      <c r="K486" s="7">
        <v>5729.0</v>
      </c>
      <c r="L486" s="7">
        <v>7283.62</v>
      </c>
      <c r="M486" s="7">
        <v>7826.0</v>
      </c>
      <c r="N486" s="7">
        <v>0.931</v>
      </c>
      <c r="O486" s="8">
        <v>6465.0</v>
      </c>
      <c r="P486" s="7">
        <v>9981.63</v>
      </c>
      <c r="Q486" s="7">
        <v>6293699.0</v>
      </c>
      <c r="R486" s="7">
        <v>1.59</v>
      </c>
      <c r="S486" s="7">
        <v>17935.0</v>
      </c>
      <c r="T486" s="7">
        <v>257.13</v>
      </c>
      <c r="U486" s="7">
        <v>5586.0</v>
      </c>
      <c r="V486" s="7">
        <v>0.05</v>
      </c>
      <c r="W486" s="7">
        <v>2249.0</v>
      </c>
      <c r="X486" s="7">
        <v>251.31</v>
      </c>
      <c r="Y486" s="7">
        <v>196075.0</v>
      </c>
      <c r="Z486" s="7">
        <v>1.28</v>
      </c>
      <c r="AA486" s="7">
        <v>479.0</v>
      </c>
      <c r="AB486" s="7"/>
      <c r="AC486" s="7"/>
      <c r="AD486" s="7"/>
    </row>
    <row r="487" ht="15.75" customHeight="1">
      <c r="A487" s="6">
        <v>45047.0</v>
      </c>
      <c r="B487" s="7">
        <f t="shared" si="1"/>
        <v>1</v>
      </c>
      <c r="C487" s="7">
        <f t="shared" si="2"/>
        <v>5</v>
      </c>
      <c r="D487" s="7">
        <v>18313.2</v>
      </c>
      <c r="E487" s="7">
        <v>18746.0</v>
      </c>
      <c r="F487" s="7">
        <v>36797.0</v>
      </c>
      <c r="G487" s="7">
        <v>55543.0</v>
      </c>
      <c r="H487" s="7">
        <v>1582.7</v>
      </c>
      <c r="I487" s="7">
        <v>9664.0</v>
      </c>
      <c r="J487" s="7">
        <v>0.164</v>
      </c>
      <c r="K487" s="7">
        <v>7246.0</v>
      </c>
      <c r="L487" s="7">
        <v>6390.35</v>
      </c>
      <c r="M487" s="7">
        <v>8140.0</v>
      </c>
      <c r="N487" s="7">
        <v>0.785</v>
      </c>
      <c r="O487" s="8">
        <v>6837.0</v>
      </c>
      <c r="P487" s="7">
        <v>9743.56</v>
      </c>
      <c r="Q487" s="7">
        <v>7524575.0</v>
      </c>
      <c r="R487" s="7">
        <v>1.29</v>
      </c>
      <c r="S487" s="7">
        <v>20474.0</v>
      </c>
      <c r="T487" s="7">
        <v>345.67</v>
      </c>
      <c r="U487" s="7">
        <v>6850.0</v>
      </c>
      <c r="V487" s="7">
        <v>0.05</v>
      </c>
      <c r="W487" s="7">
        <v>1724.0</v>
      </c>
      <c r="X487" s="7">
        <v>250.92</v>
      </c>
      <c r="Y487" s="7">
        <v>227802.0</v>
      </c>
      <c r="Z487" s="7">
        <v>1.1</v>
      </c>
      <c r="AA487" s="7">
        <v>551.0</v>
      </c>
      <c r="AB487" s="7"/>
      <c r="AC487" s="7"/>
      <c r="AD487" s="7"/>
    </row>
    <row r="488" ht="15.75" customHeight="1">
      <c r="A488" s="6">
        <v>45048.0</v>
      </c>
      <c r="B488" s="7">
        <f t="shared" si="1"/>
        <v>2</v>
      </c>
      <c r="C488" s="7">
        <f t="shared" si="2"/>
        <v>5</v>
      </c>
      <c r="D488" s="7">
        <v>16973.91</v>
      </c>
      <c r="E488" s="7">
        <v>16445.0</v>
      </c>
      <c r="F488" s="7">
        <v>30921.0</v>
      </c>
      <c r="G488" s="7">
        <v>47366.0</v>
      </c>
      <c r="H488" s="7">
        <v>1370.87</v>
      </c>
      <c r="I488" s="7">
        <v>7635.0</v>
      </c>
      <c r="J488" s="7">
        <v>0.18</v>
      </c>
      <c r="K488" s="7">
        <v>6019.0</v>
      </c>
      <c r="L488" s="7">
        <v>6053.5</v>
      </c>
      <c r="M488" s="7">
        <v>6941.0</v>
      </c>
      <c r="N488" s="7">
        <v>0.872</v>
      </c>
      <c r="O488" s="8">
        <v>6027.0</v>
      </c>
      <c r="P488" s="7">
        <v>8972.1</v>
      </c>
      <c r="Q488" s="7">
        <v>6323222.0</v>
      </c>
      <c r="R488" s="7">
        <v>1.42</v>
      </c>
      <c r="S488" s="7">
        <v>16416.0</v>
      </c>
      <c r="T488" s="7">
        <v>369.09</v>
      </c>
      <c r="U488" s="7">
        <v>5866.0</v>
      </c>
      <c r="V488" s="7">
        <v>0.06</v>
      </c>
      <c r="W488" s="7">
        <v>2015.0</v>
      </c>
      <c r="X488" s="7">
        <v>208.35</v>
      </c>
      <c r="Y488" s="7">
        <v>214592.0</v>
      </c>
      <c r="Z488" s="7">
        <v>0.97</v>
      </c>
      <c r="AA488" s="7">
        <v>372.0</v>
      </c>
      <c r="AB488" s="7"/>
      <c r="AC488" s="7"/>
      <c r="AD488" s="7"/>
    </row>
    <row r="489" ht="15.75" customHeight="1">
      <c r="A489" s="6">
        <v>45049.0</v>
      </c>
      <c r="B489" s="7">
        <f t="shared" si="1"/>
        <v>3</v>
      </c>
      <c r="C489" s="7">
        <f t="shared" si="2"/>
        <v>5</v>
      </c>
      <c r="D489" s="7">
        <v>16243.45</v>
      </c>
      <c r="E489" s="7">
        <v>16006.0</v>
      </c>
      <c r="F489" s="7">
        <v>28622.0</v>
      </c>
      <c r="G489" s="7">
        <v>44628.0</v>
      </c>
      <c r="H489" s="7">
        <v>1276.82</v>
      </c>
      <c r="I489" s="7">
        <v>7240.0</v>
      </c>
      <c r="J489" s="7">
        <v>0.176</v>
      </c>
      <c r="K489" s="7">
        <v>5826.0</v>
      </c>
      <c r="L489" s="7">
        <v>5564.88</v>
      </c>
      <c r="M489" s="7">
        <v>6214.0</v>
      </c>
      <c r="N489" s="7">
        <v>0.896</v>
      </c>
      <c r="O489" s="8">
        <v>5390.0</v>
      </c>
      <c r="P489" s="7">
        <v>8935.91</v>
      </c>
      <c r="Q489" s="7">
        <v>5636939.0</v>
      </c>
      <c r="R489" s="7">
        <v>1.59</v>
      </c>
      <c r="S489" s="7">
        <v>15443.0</v>
      </c>
      <c r="T489" s="7">
        <v>303.86</v>
      </c>
      <c r="U489" s="7">
        <v>3801.0</v>
      </c>
      <c r="V489" s="7">
        <v>0.08</v>
      </c>
      <c r="W489" s="7">
        <v>1790.0</v>
      </c>
      <c r="X489" s="7">
        <v>161.98</v>
      </c>
      <c r="Y489" s="7">
        <v>158266.0</v>
      </c>
      <c r="Z489" s="7">
        <v>1.02</v>
      </c>
      <c r="AA489" s="7">
        <v>304.0</v>
      </c>
      <c r="AB489" s="7"/>
      <c r="AC489" s="7"/>
      <c r="AD489" s="7"/>
    </row>
    <row r="490" ht="15.75" customHeight="1">
      <c r="A490" s="6">
        <v>45050.0</v>
      </c>
      <c r="B490" s="7">
        <f t="shared" si="1"/>
        <v>4</v>
      </c>
      <c r="C490" s="7">
        <f t="shared" si="2"/>
        <v>5</v>
      </c>
      <c r="D490" s="7">
        <v>16369.56</v>
      </c>
      <c r="E490" s="7">
        <v>16160.0</v>
      </c>
      <c r="F490" s="7">
        <v>27695.0</v>
      </c>
      <c r="G490" s="7">
        <v>43855.0</v>
      </c>
      <c r="H490" s="7">
        <v>1190.5</v>
      </c>
      <c r="I490" s="7">
        <v>7034.0</v>
      </c>
      <c r="J490" s="7">
        <v>0.169</v>
      </c>
      <c r="K490" s="7">
        <v>5565.0</v>
      </c>
      <c r="L490" s="7">
        <v>5744.87</v>
      </c>
      <c r="M490" s="7">
        <v>5966.0</v>
      </c>
      <c r="N490" s="7">
        <v>0.963</v>
      </c>
      <c r="O490" s="8">
        <v>5088.0</v>
      </c>
      <c r="P490" s="7">
        <v>8993.46</v>
      </c>
      <c r="Q490" s="7">
        <v>5265919.0</v>
      </c>
      <c r="R490" s="7">
        <v>1.71</v>
      </c>
      <c r="S490" s="7">
        <v>14491.0</v>
      </c>
      <c r="T490" s="7">
        <v>283.71</v>
      </c>
      <c r="U490" s="7">
        <v>3794.0</v>
      </c>
      <c r="V490" s="7">
        <v>0.07</v>
      </c>
      <c r="W490" s="7">
        <v>1610.0</v>
      </c>
      <c r="X490" s="7">
        <v>157.02</v>
      </c>
      <c r="Y490" s="7">
        <v>138561.0</v>
      </c>
      <c r="Z490" s="7">
        <v>1.13</v>
      </c>
      <c r="AA490" s="7">
        <v>290.0</v>
      </c>
      <c r="AB490" s="7"/>
      <c r="AC490" s="7"/>
      <c r="AD490" s="7"/>
    </row>
    <row r="491" ht="15.75" customHeight="1">
      <c r="A491" s="6">
        <v>45051.0</v>
      </c>
      <c r="B491" s="7">
        <f t="shared" si="1"/>
        <v>5</v>
      </c>
      <c r="C491" s="7">
        <f t="shared" si="2"/>
        <v>5</v>
      </c>
      <c r="D491" s="7">
        <v>14627.97</v>
      </c>
      <c r="E491" s="7">
        <v>12875.0</v>
      </c>
      <c r="F491" s="7">
        <v>24191.0</v>
      </c>
      <c r="G491" s="7">
        <v>37066.0</v>
      </c>
      <c r="H491" s="7">
        <v>1123.39</v>
      </c>
      <c r="I491" s="7">
        <v>6136.0</v>
      </c>
      <c r="J491" s="7">
        <v>0.183</v>
      </c>
      <c r="K491" s="7">
        <v>4815.0</v>
      </c>
      <c r="L491" s="7">
        <v>4597.71</v>
      </c>
      <c r="M491" s="7">
        <v>4937.0</v>
      </c>
      <c r="N491" s="7">
        <v>0.931</v>
      </c>
      <c r="O491" s="8">
        <v>4325.0</v>
      </c>
      <c r="P491" s="7">
        <v>8471.63</v>
      </c>
      <c r="Q491" s="7">
        <v>5005829.0</v>
      </c>
      <c r="R491" s="7">
        <v>1.69</v>
      </c>
      <c r="S491" s="7">
        <v>13858.0</v>
      </c>
      <c r="T491" s="7">
        <v>272.53</v>
      </c>
      <c r="U491" s="7">
        <v>4192.0</v>
      </c>
      <c r="V491" s="7">
        <v>0.07</v>
      </c>
      <c r="W491" s="7">
        <v>1619.0</v>
      </c>
      <c r="X491" s="7">
        <v>162.71</v>
      </c>
      <c r="Y491" s="7">
        <v>136322.0</v>
      </c>
      <c r="Z491" s="7">
        <v>1.19</v>
      </c>
      <c r="AA491" s="7">
        <v>233.0</v>
      </c>
      <c r="AB491" s="7"/>
      <c r="AC491" s="7"/>
      <c r="AD491" s="7"/>
    </row>
    <row r="492" ht="15.75" customHeight="1">
      <c r="A492" s="6">
        <v>45052.0</v>
      </c>
      <c r="B492" s="7">
        <f t="shared" si="1"/>
        <v>6</v>
      </c>
      <c r="C492" s="7">
        <f t="shared" si="2"/>
        <v>5</v>
      </c>
      <c r="D492" s="7">
        <v>15475.83</v>
      </c>
      <c r="E492" s="7">
        <v>11456.0</v>
      </c>
      <c r="F492" s="7">
        <v>26174.0</v>
      </c>
      <c r="G492" s="7">
        <v>37630.0</v>
      </c>
      <c r="H492" s="7">
        <v>1060.49</v>
      </c>
      <c r="I492" s="7">
        <v>6065.0</v>
      </c>
      <c r="J492" s="7">
        <v>0.175</v>
      </c>
      <c r="K492" s="7">
        <v>4703.0</v>
      </c>
      <c r="L492" s="7">
        <v>4833.8</v>
      </c>
      <c r="M492" s="7">
        <v>5144.0</v>
      </c>
      <c r="N492" s="7">
        <v>0.94</v>
      </c>
      <c r="O492" s="8">
        <v>4282.0</v>
      </c>
      <c r="P492" s="7">
        <v>9123.2</v>
      </c>
      <c r="Q492" s="7">
        <v>5116062.0</v>
      </c>
      <c r="R492" s="7">
        <v>1.78</v>
      </c>
      <c r="S492" s="7">
        <v>15383.0</v>
      </c>
      <c r="T492" s="7">
        <v>254.14</v>
      </c>
      <c r="U492" s="7">
        <v>4788.0</v>
      </c>
      <c r="V492" s="7">
        <v>0.05</v>
      </c>
      <c r="W492" s="7">
        <v>1671.0</v>
      </c>
      <c r="X492" s="7">
        <v>204.2</v>
      </c>
      <c r="Y492" s="7">
        <v>160764.0</v>
      </c>
      <c r="Z492" s="7">
        <v>1.27</v>
      </c>
      <c r="AA492" s="7">
        <v>324.0</v>
      </c>
      <c r="AB492" s="7"/>
      <c r="AC492" s="7"/>
      <c r="AD492" s="7"/>
    </row>
    <row r="493" ht="15.75" customHeight="1">
      <c r="A493" s="6">
        <v>45053.0</v>
      </c>
      <c r="B493" s="7">
        <f t="shared" si="1"/>
        <v>7</v>
      </c>
      <c r="C493" s="7">
        <f t="shared" si="2"/>
        <v>5</v>
      </c>
      <c r="D493" s="7">
        <v>16992.26</v>
      </c>
      <c r="E493" s="7">
        <v>15247.0</v>
      </c>
      <c r="F493" s="7">
        <v>31280.0</v>
      </c>
      <c r="G493" s="7">
        <v>46527.0</v>
      </c>
      <c r="H493" s="7">
        <v>1338.9</v>
      </c>
      <c r="I493" s="7">
        <v>7657.0</v>
      </c>
      <c r="J493" s="7">
        <v>0.175</v>
      </c>
      <c r="K493" s="7">
        <v>5807.0</v>
      </c>
      <c r="L493" s="7">
        <v>5292.24</v>
      </c>
      <c r="M493" s="7">
        <v>6342.0</v>
      </c>
      <c r="N493" s="7">
        <v>0.834</v>
      </c>
      <c r="O493" s="8">
        <v>5495.0</v>
      </c>
      <c r="P493" s="7">
        <v>9878.21</v>
      </c>
      <c r="Q493" s="7">
        <v>5758129.0</v>
      </c>
      <c r="R493" s="7">
        <v>1.72</v>
      </c>
      <c r="S493" s="7">
        <v>18033.0</v>
      </c>
      <c r="T493" s="7">
        <v>272.48</v>
      </c>
      <c r="U493" s="7">
        <v>3859.0</v>
      </c>
      <c r="V493" s="7">
        <v>0.07</v>
      </c>
      <c r="W493" s="7">
        <v>2155.0</v>
      </c>
      <c r="X493" s="7">
        <v>210.43</v>
      </c>
      <c r="Y493" s="7">
        <v>178192.0</v>
      </c>
      <c r="Z493" s="7">
        <v>1.18</v>
      </c>
      <c r="AA493" s="7">
        <v>389.0</v>
      </c>
      <c r="AB493" s="7"/>
      <c r="AC493" s="7"/>
      <c r="AD493" s="7"/>
    </row>
    <row r="494" ht="15.75" customHeight="1">
      <c r="A494" s="6">
        <v>45054.0</v>
      </c>
      <c r="B494" s="7">
        <f t="shared" si="1"/>
        <v>8</v>
      </c>
      <c r="C494" s="7">
        <f t="shared" si="2"/>
        <v>5</v>
      </c>
      <c r="D494" s="7">
        <v>17161.42</v>
      </c>
      <c r="E494" s="7">
        <v>16284.0</v>
      </c>
      <c r="F494" s="7">
        <v>29075.0</v>
      </c>
      <c r="G494" s="7">
        <v>45359.0</v>
      </c>
      <c r="H494" s="7">
        <v>1460.54</v>
      </c>
      <c r="I494" s="7">
        <v>7415.0</v>
      </c>
      <c r="J494" s="7">
        <v>0.197</v>
      </c>
      <c r="K494" s="7">
        <v>6064.0</v>
      </c>
      <c r="L494" s="7">
        <v>5850.44</v>
      </c>
      <c r="M494" s="7">
        <v>6645.0</v>
      </c>
      <c r="N494" s="7">
        <v>0.88</v>
      </c>
      <c r="O494" s="8">
        <v>5727.0</v>
      </c>
      <c r="P494" s="7">
        <v>9366.04</v>
      </c>
      <c r="Q494" s="7">
        <v>5602011.0</v>
      </c>
      <c r="R494" s="7">
        <v>1.67</v>
      </c>
      <c r="S494" s="7">
        <v>15241.0</v>
      </c>
      <c r="T494" s="7">
        <v>319.44</v>
      </c>
      <c r="U494" s="7">
        <v>3478.0</v>
      </c>
      <c r="V494" s="7">
        <v>0.09</v>
      </c>
      <c r="W494" s="7">
        <v>1696.0</v>
      </c>
      <c r="X494" s="7">
        <v>164.96</v>
      </c>
      <c r="Y494" s="7">
        <v>144489.0</v>
      </c>
      <c r="Z494" s="7">
        <v>1.14</v>
      </c>
      <c r="AA494" s="7">
        <v>293.0</v>
      </c>
      <c r="AB494" s="7"/>
      <c r="AC494" s="7"/>
      <c r="AD494" s="7"/>
    </row>
    <row r="495" ht="15.75" customHeight="1">
      <c r="A495" s="6">
        <v>45055.0</v>
      </c>
      <c r="B495" s="7">
        <f t="shared" si="1"/>
        <v>9</v>
      </c>
      <c r="C495" s="7">
        <f t="shared" si="2"/>
        <v>5</v>
      </c>
      <c r="D495" s="7">
        <v>19702.89</v>
      </c>
      <c r="E495" s="7">
        <v>16644.0</v>
      </c>
      <c r="F495" s="7">
        <v>28015.0</v>
      </c>
      <c r="G495" s="7">
        <v>44659.0</v>
      </c>
      <c r="H495" s="7">
        <v>1507.06</v>
      </c>
      <c r="I495" s="7">
        <v>7319.0</v>
      </c>
      <c r="J495" s="7">
        <v>0.206</v>
      </c>
      <c r="K495" s="7">
        <v>5782.0</v>
      </c>
      <c r="L495" s="7">
        <v>8830.5</v>
      </c>
      <c r="M495" s="7">
        <v>7848.0</v>
      </c>
      <c r="N495" s="7">
        <v>1.125</v>
      </c>
      <c r="O495" s="8">
        <v>6259.0</v>
      </c>
      <c r="P495" s="7">
        <v>8846.92</v>
      </c>
      <c r="Q495" s="7">
        <v>4965710.0</v>
      </c>
      <c r="R495" s="7">
        <v>1.78</v>
      </c>
      <c r="S495" s="7">
        <v>14254.0</v>
      </c>
      <c r="T495" s="7">
        <v>351.39</v>
      </c>
      <c r="U495" s="7">
        <v>4722.0</v>
      </c>
      <c r="V495" s="7">
        <v>0.07</v>
      </c>
      <c r="W495" s="7">
        <v>2198.0</v>
      </c>
      <c r="X495" s="7">
        <v>167.02</v>
      </c>
      <c r="Y495" s="7">
        <v>146725.0</v>
      </c>
      <c r="Z495" s="7">
        <v>1.14</v>
      </c>
      <c r="AA495" s="7">
        <v>294.0</v>
      </c>
      <c r="AB495" s="7"/>
      <c r="AC495" s="7"/>
      <c r="AD495" s="7"/>
    </row>
    <row r="496" ht="15.75" customHeight="1">
      <c r="A496" s="6">
        <v>45056.0</v>
      </c>
      <c r="B496" s="7">
        <f t="shared" si="1"/>
        <v>10</v>
      </c>
      <c r="C496" s="7">
        <f t="shared" si="2"/>
        <v>5</v>
      </c>
      <c r="D496" s="7">
        <v>15680.86</v>
      </c>
      <c r="E496" s="7">
        <v>15251.0</v>
      </c>
      <c r="F496" s="7">
        <v>25802.0</v>
      </c>
      <c r="G496" s="7">
        <v>41053.0</v>
      </c>
      <c r="H496" s="7">
        <v>1401.03</v>
      </c>
      <c r="I496" s="7">
        <v>6853.0</v>
      </c>
      <c r="J496" s="7">
        <v>0.204</v>
      </c>
      <c r="K496" s="7">
        <v>5274.0</v>
      </c>
      <c r="L496" s="7">
        <v>5260.94</v>
      </c>
      <c r="M496" s="7">
        <v>5873.0</v>
      </c>
      <c r="N496" s="7">
        <v>0.896</v>
      </c>
      <c r="O496" s="8">
        <v>4838.0</v>
      </c>
      <c r="P496" s="7">
        <v>8455.63</v>
      </c>
      <c r="Q496" s="7">
        <v>4649728.0</v>
      </c>
      <c r="R496" s="7">
        <v>1.82</v>
      </c>
      <c r="S496" s="7">
        <v>13459.0</v>
      </c>
      <c r="T496" s="7">
        <v>335.26</v>
      </c>
      <c r="U496" s="7">
        <v>4059.0</v>
      </c>
      <c r="V496" s="7">
        <v>0.08</v>
      </c>
      <c r="W496" s="7">
        <v>2064.0</v>
      </c>
      <c r="X496" s="7">
        <v>228.0</v>
      </c>
      <c r="Y496" s="7">
        <v>227659.0</v>
      </c>
      <c r="Z496" s="7">
        <v>1.0</v>
      </c>
      <c r="AA496" s="7">
        <v>340.0</v>
      </c>
      <c r="AB496" s="7"/>
      <c r="AC496" s="7"/>
      <c r="AD496" s="7"/>
    </row>
    <row r="497" ht="15.75" customHeight="1">
      <c r="A497" s="6">
        <v>45057.0</v>
      </c>
      <c r="B497" s="7">
        <f t="shared" si="1"/>
        <v>11</v>
      </c>
      <c r="C497" s="7">
        <f t="shared" si="2"/>
        <v>5</v>
      </c>
      <c r="D497" s="7">
        <v>16018.15</v>
      </c>
      <c r="E497" s="7">
        <v>14207.0</v>
      </c>
      <c r="F497" s="7">
        <v>25414.0</v>
      </c>
      <c r="G497" s="7">
        <v>39621.0</v>
      </c>
      <c r="H497" s="7">
        <v>1502.05</v>
      </c>
      <c r="I497" s="7">
        <v>7034.0</v>
      </c>
      <c r="J497" s="7">
        <v>0.214</v>
      </c>
      <c r="K497" s="7">
        <v>5546.0</v>
      </c>
      <c r="L497" s="7">
        <v>5627.92</v>
      </c>
      <c r="M497" s="7">
        <v>5914.0</v>
      </c>
      <c r="N497" s="7">
        <v>0.952</v>
      </c>
      <c r="O497" s="8">
        <v>4831.0</v>
      </c>
      <c r="P497" s="7">
        <v>8280.76</v>
      </c>
      <c r="Q497" s="7">
        <v>4351248.0</v>
      </c>
      <c r="R497" s="7">
        <v>1.9</v>
      </c>
      <c r="S497" s="7">
        <v>12768.0</v>
      </c>
      <c r="T497" s="7">
        <v>314.73</v>
      </c>
      <c r="U497" s="7">
        <v>4174.0</v>
      </c>
      <c r="V497" s="7">
        <v>0.08</v>
      </c>
      <c r="W497" s="7">
        <v>2016.0</v>
      </c>
      <c r="X497" s="7">
        <v>292.69</v>
      </c>
      <c r="Y497" s="7">
        <v>232094.0</v>
      </c>
      <c r="Z497" s="7">
        <v>1.26</v>
      </c>
      <c r="AA497" s="7">
        <v>399.0</v>
      </c>
      <c r="AB497" s="7"/>
      <c r="AC497" s="7"/>
      <c r="AD497" s="7"/>
    </row>
    <row r="498" ht="15.75" customHeight="1">
      <c r="A498" s="6">
        <v>45058.0</v>
      </c>
      <c r="B498" s="7">
        <f t="shared" si="1"/>
        <v>12</v>
      </c>
      <c r="C498" s="7">
        <f t="shared" si="2"/>
        <v>5</v>
      </c>
      <c r="D498" s="7">
        <v>14293.54</v>
      </c>
      <c r="E498" s="7">
        <v>13544.0</v>
      </c>
      <c r="F498" s="7">
        <v>21897.0</v>
      </c>
      <c r="G498" s="7">
        <v>35441.0</v>
      </c>
      <c r="H498" s="7">
        <v>1158.08</v>
      </c>
      <c r="I498" s="7">
        <v>6038.0</v>
      </c>
      <c r="J498" s="7">
        <v>0.192</v>
      </c>
      <c r="K498" s="7">
        <v>4692.0</v>
      </c>
      <c r="L498" s="7">
        <v>4853.7</v>
      </c>
      <c r="M498" s="7">
        <v>5352.0</v>
      </c>
      <c r="N498" s="7">
        <v>0.907</v>
      </c>
      <c r="O498" s="8">
        <v>4498.0</v>
      </c>
      <c r="P498" s="7">
        <v>7745.65</v>
      </c>
      <c r="Q498" s="7">
        <v>3930016.0</v>
      </c>
      <c r="R498" s="7">
        <v>1.97</v>
      </c>
      <c r="S498" s="7">
        <v>11421.0</v>
      </c>
      <c r="T498" s="7">
        <v>277.0</v>
      </c>
      <c r="U498" s="7">
        <v>3173.0</v>
      </c>
      <c r="V498" s="7">
        <v>0.09</v>
      </c>
      <c r="W498" s="7">
        <v>1463.0</v>
      </c>
      <c r="X498" s="7">
        <v>259.11</v>
      </c>
      <c r="Y498" s="7">
        <v>198790.0</v>
      </c>
      <c r="Z498" s="7">
        <v>1.3</v>
      </c>
      <c r="AA498" s="7">
        <v>393.0</v>
      </c>
      <c r="AB498" s="7"/>
      <c r="AC498" s="7"/>
      <c r="AD498" s="7"/>
    </row>
    <row r="499" ht="15.75" customHeight="1">
      <c r="A499" s="6">
        <v>45059.0</v>
      </c>
      <c r="B499" s="7">
        <f t="shared" si="1"/>
        <v>13</v>
      </c>
      <c r="C499" s="7">
        <f t="shared" si="2"/>
        <v>5</v>
      </c>
      <c r="D499" s="7">
        <v>15504.28</v>
      </c>
      <c r="E499" s="7">
        <v>13089.0</v>
      </c>
      <c r="F499" s="7">
        <v>25354.0</v>
      </c>
      <c r="G499" s="7">
        <v>38443.0</v>
      </c>
      <c r="H499" s="7">
        <v>1251.5</v>
      </c>
      <c r="I499" s="7">
        <v>6776.0</v>
      </c>
      <c r="J499" s="7">
        <v>0.185</v>
      </c>
      <c r="K499" s="7">
        <v>4898.0</v>
      </c>
      <c r="L499" s="7">
        <v>5471.27</v>
      </c>
      <c r="M499" s="7">
        <v>6486.0</v>
      </c>
      <c r="N499" s="7">
        <v>0.844</v>
      </c>
      <c r="O499" s="8">
        <v>5119.0</v>
      </c>
      <c r="P499" s="7">
        <v>8242.9</v>
      </c>
      <c r="Q499" s="7">
        <v>4187648.0</v>
      </c>
      <c r="R499" s="7">
        <v>1.97</v>
      </c>
      <c r="S499" s="7">
        <v>13106.0</v>
      </c>
      <c r="T499" s="7">
        <v>259.42</v>
      </c>
      <c r="U499" s="7">
        <v>3146.0</v>
      </c>
      <c r="V499" s="7">
        <v>0.08</v>
      </c>
      <c r="W499" s="7">
        <v>1642.0</v>
      </c>
      <c r="X499" s="7">
        <v>279.19</v>
      </c>
      <c r="Y499" s="7">
        <v>208224.0</v>
      </c>
      <c r="Z499" s="7">
        <v>1.34</v>
      </c>
      <c r="AA499" s="7">
        <v>407.0</v>
      </c>
      <c r="AB499" s="7"/>
      <c r="AC499" s="7"/>
      <c r="AD499" s="7"/>
    </row>
    <row r="500" ht="15.75" customHeight="1">
      <c r="A500" s="6">
        <v>45060.0</v>
      </c>
      <c r="B500" s="7">
        <f t="shared" si="1"/>
        <v>14</v>
      </c>
      <c r="C500" s="7">
        <f t="shared" si="2"/>
        <v>5</v>
      </c>
      <c r="D500" s="7">
        <v>17553.81</v>
      </c>
      <c r="E500" s="7">
        <v>16496.0</v>
      </c>
      <c r="F500" s="7">
        <v>28200.0</v>
      </c>
      <c r="G500" s="7">
        <v>44696.0</v>
      </c>
      <c r="H500" s="7">
        <v>1615.24</v>
      </c>
      <c r="I500" s="7">
        <v>8311.0</v>
      </c>
      <c r="J500" s="7">
        <v>0.194</v>
      </c>
      <c r="K500" s="7">
        <v>5985.0</v>
      </c>
      <c r="L500" s="7">
        <v>6261.52</v>
      </c>
      <c r="M500" s="7">
        <v>7603.0</v>
      </c>
      <c r="N500" s="7">
        <v>0.824</v>
      </c>
      <c r="O500" s="8">
        <v>6162.0</v>
      </c>
      <c r="P500" s="7">
        <v>9125.04</v>
      </c>
      <c r="Q500" s="7">
        <v>5294764.0</v>
      </c>
      <c r="R500" s="7">
        <v>1.72</v>
      </c>
      <c r="S500" s="7">
        <v>14304.0</v>
      </c>
      <c r="T500" s="7">
        <v>251.76</v>
      </c>
      <c r="U500" s="7">
        <v>3310.0</v>
      </c>
      <c r="V500" s="7">
        <v>0.08</v>
      </c>
      <c r="W500" s="7">
        <v>1472.0</v>
      </c>
      <c r="X500" s="7">
        <v>300.25</v>
      </c>
      <c r="Y500" s="7">
        <v>230445.0</v>
      </c>
      <c r="Z500" s="7">
        <v>1.3</v>
      </c>
      <c r="AA500" s="7">
        <v>503.0</v>
      </c>
      <c r="AB500" s="7"/>
      <c r="AC500" s="7"/>
      <c r="AD500" s="7"/>
    </row>
    <row r="501" ht="15.75" customHeight="1">
      <c r="A501" s="6">
        <v>45061.0</v>
      </c>
      <c r="B501" s="7">
        <f t="shared" si="1"/>
        <v>15</v>
      </c>
      <c r="C501" s="7">
        <f t="shared" si="2"/>
        <v>5</v>
      </c>
      <c r="D501" s="7">
        <v>15749.05</v>
      </c>
      <c r="E501" s="7">
        <v>16903.0</v>
      </c>
      <c r="F501" s="7">
        <v>25165.0</v>
      </c>
      <c r="G501" s="7">
        <v>42068.0</v>
      </c>
      <c r="H501" s="7">
        <v>1581.43</v>
      </c>
      <c r="I501" s="7">
        <v>7519.0</v>
      </c>
      <c r="J501" s="7">
        <v>0.21</v>
      </c>
      <c r="K501" s="7">
        <v>5904.0</v>
      </c>
      <c r="L501" s="7">
        <v>5016.57</v>
      </c>
      <c r="M501" s="7">
        <v>5941.0</v>
      </c>
      <c r="N501" s="7">
        <v>0.844</v>
      </c>
      <c r="O501" s="8">
        <v>5132.0</v>
      </c>
      <c r="P501" s="7">
        <v>8536.57</v>
      </c>
      <c r="Q501" s="7">
        <v>5005449.0</v>
      </c>
      <c r="R501" s="7">
        <v>1.71</v>
      </c>
      <c r="S501" s="7">
        <v>12316.0</v>
      </c>
      <c r="T501" s="7">
        <v>313.73</v>
      </c>
      <c r="U501" s="7">
        <v>2239.0</v>
      </c>
      <c r="V501" s="7">
        <v>0.14</v>
      </c>
      <c r="W501" s="7">
        <v>1374.0</v>
      </c>
      <c r="X501" s="7">
        <v>300.75</v>
      </c>
      <c r="Y501" s="7">
        <v>279354.0</v>
      </c>
      <c r="Z501" s="7">
        <v>1.08</v>
      </c>
      <c r="AA501" s="7">
        <v>387.0</v>
      </c>
      <c r="AB501" s="7"/>
      <c r="AC501" s="7"/>
      <c r="AD501" s="7"/>
    </row>
    <row r="502" ht="15.75" customHeight="1">
      <c r="A502" s="6">
        <v>45062.0</v>
      </c>
      <c r="B502" s="7">
        <f t="shared" si="1"/>
        <v>16</v>
      </c>
      <c r="C502" s="7">
        <f t="shared" si="2"/>
        <v>5</v>
      </c>
      <c r="D502" s="7">
        <v>15974.49</v>
      </c>
      <c r="E502" s="7">
        <v>15590.0</v>
      </c>
      <c r="F502" s="7">
        <v>24447.0</v>
      </c>
      <c r="G502" s="7">
        <v>40037.0</v>
      </c>
      <c r="H502" s="7">
        <v>1771.99</v>
      </c>
      <c r="I502" s="7">
        <v>7357.0</v>
      </c>
      <c r="J502" s="7">
        <v>0.241</v>
      </c>
      <c r="K502" s="7">
        <v>5752.0</v>
      </c>
      <c r="L502" s="7">
        <v>5269.26</v>
      </c>
      <c r="M502" s="7">
        <v>5890.0</v>
      </c>
      <c r="N502" s="7">
        <v>0.895</v>
      </c>
      <c r="O502" s="8">
        <v>4990.0</v>
      </c>
      <c r="P502" s="7">
        <v>8321.78</v>
      </c>
      <c r="Q502" s="7">
        <v>4582487.0</v>
      </c>
      <c r="R502" s="7">
        <v>1.82</v>
      </c>
      <c r="S502" s="7">
        <v>12519.0</v>
      </c>
      <c r="T502" s="7">
        <v>337.32</v>
      </c>
      <c r="U502" s="7">
        <v>3094.0</v>
      </c>
      <c r="V502" s="7">
        <v>0.11</v>
      </c>
      <c r="W502" s="7">
        <v>1493.0</v>
      </c>
      <c r="X502" s="7">
        <v>274.14</v>
      </c>
      <c r="Y502" s="7">
        <v>249896.0</v>
      </c>
      <c r="Z502" s="7">
        <v>1.1</v>
      </c>
      <c r="AA502" s="7">
        <v>360.0</v>
      </c>
      <c r="AB502" s="7"/>
      <c r="AC502" s="7"/>
      <c r="AD502" s="7"/>
    </row>
    <row r="503" ht="15.75" customHeight="1">
      <c r="A503" s="6">
        <v>45063.0</v>
      </c>
      <c r="B503" s="7">
        <f t="shared" si="1"/>
        <v>17</v>
      </c>
      <c r="C503" s="7">
        <f t="shared" si="2"/>
        <v>5</v>
      </c>
      <c r="D503" s="7">
        <v>14597.37</v>
      </c>
      <c r="E503" s="7">
        <v>13481.0</v>
      </c>
      <c r="F503" s="7">
        <v>21987.0</v>
      </c>
      <c r="G503" s="7">
        <v>35468.0</v>
      </c>
      <c r="H503" s="7">
        <v>1559.57</v>
      </c>
      <c r="I503" s="7">
        <v>6403.0</v>
      </c>
      <c r="J503" s="7">
        <v>0.244</v>
      </c>
      <c r="K503" s="7">
        <v>4837.0</v>
      </c>
      <c r="L503" s="7">
        <v>4743.67</v>
      </c>
      <c r="M503" s="7">
        <v>5315.0</v>
      </c>
      <c r="N503" s="7">
        <v>0.893</v>
      </c>
      <c r="O503" s="8">
        <v>4414.0</v>
      </c>
      <c r="P503" s="7">
        <v>7720.55</v>
      </c>
      <c r="Q503" s="7">
        <v>4356799.0</v>
      </c>
      <c r="R503" s="7">
        <v>1.77</v>
      </c>
      <c r="S503" s="7">
        <v>11469.0</v>
      </c>
      <c r="T503" s="7">
        <v>318.38</v>
      </c>
      <c r="U503" s="7">
        <v>3175.0</v>
      </c>
      <c r="V503" s="7">
        <v>0.1</v>
      </c>
      <c r="W503" s="7">
        <v>1364.0</v>
      </c>
      <c r="X503" s="7">
        <v>255.2</v>
      </c>
      <c r="Y503" s="7">
        <v>215573.0</v>
      </c>
      <c r="Z503" s="7">
        <v>1.18</v>
      </c>
      <c r="AA503" s="7">
        <v>347.0</v>
      </c>
      <c r="AB503" s="7"/>
      <c r="AC503" s="7"/>
      <c r="AD503" s="7"/>
    </row>
    <row r="504" ht="15.75" customHeight="1">
      <c r="A504" s="6">
        <v>45064.0</v>
      </c>
      <c r="B504" s="7">
        <f t="shared" si="1"/>
        <v>18</v>
      </c>
      <c r="C504" s="7">
        <f t="shared" si="2"/>
        <v>5</v>
      </c>
      <c r="D504" s="7">
        <v>13747.89</v>
      </c>
      <c r="E504" s="7">
        <v>13363.0</v>
      </c>
      <c r="F504" s="7">
        <v>21086.0</v>
      </c>
      <c r="G504" s="7">
        <v>34449.0</v>
      </c>
      <c r="H504" s="7">
        <v>1347.78</v>
      </c>
      <c r="I504" s="7">
        <v>6226.0</v>
      </c>
      <c r="J504" s="7">
        <v>0.216</v>
      </c>
      <c r="K504" s="7">
        <v>4794.0</v>
      </c>
      <c r="L504" s="7">
        <v>4172.52</v>
      </c>
      <c r="M504" s="7">
        <v>4708.0</v>
      </c>
      <c r="N504" s="7">
        <v>0.886</v>
      </c>
      <c r="O504" s="8">
        <v>3998.0</v>
      </c>
      <c r="P504" s="7">
        <v>7372.64</v>
      </c>
      <c r="Q504" s="7">
        <v>3908137.0</v>
      </c>
      <c r="R504" s="7">
        <v>1.89</v>
      </c>
      <c r="S504" s="7">
        <v>10791.0</v>
      </c>
      <c r="T504" s="7">
        <v>309.95</v>
      </c>
      <c r="U504" s="7">
        <v>3330.0</v>
      </c>
      <c r="V504" s="7">
        <v>0.09</v>
      </c>
      <c r="W504" s="7">
        <v>1324.0</v>
      </c>
      <c r="X504" s="7">
        <v>545.0</v>
      </c>
      <c r="Y504" s="7">
        <v>596458.0</v>
      </c>
      <c r="Z504" s="7">
        <v>0.91</v>
      </c>
      <c r="AA504" s="7">
        <v>483.0</v>
      </c>
      <c r="AB504" s="7"/>
      <c r="AC504" s="7"/>
      <c r="AD504" s="7"/>
    </row>
    <row r="505" ht="15.75" customHeight="1">
      <c r="A505" s="6">
        <v>45065.0</v>
      </c>
      <c r="B505" s="7">
        <f t="shared" si="1"/>
        <v>19</v>
      </c>
      <c r="C505" s="7">
        <f t="shared" si="2"/>
        <v>5</v>
      </c>
      <c r="D505" s="7">
        <v>13913.56</v>
      </c>
      <c r="E505" s="7">
        <v>14491.0</v>
      </c>
      <c r="F505" s="7">
        <v>20320.0</v>
      </c>
      <c r="G505" s="7">
        <v>34811.0</v>
      </c>
      <c r="H505" s="7">
        <v>1257.64</v>
      </c>
      <c r="I505" s="7">
        <v>5975.0</v>
      </c>
      <c r="J505" s="7">
        <v>0.21</v>
      </c>
      <c r="K505" s="7">
        <v>4571.0</v>
      </c>
      <c r="L505" s="7">
        <v>3847.33</v>
      </c>
      <c r="M505" s="7">
        <v>4331.0</v>
      </c>
      <c r="N505" s="7">
        <v>0.888</v>
      </c>
      <c r="O505" s="8">
        <v>3641.0</v>
      </c>
      <c r="P505" s="7">
        <v>7128.08</v>
      </c>
      <c r="Q505" s="7">
        <v>3771477.0</v>
      </c>
      <c r="R505" s="7">
        <v>1.89</v>
      </c>
      <c r="S505" s="7">
        <v>10027.0</v>
      </c>
      <c r="T505" s="7">
        <v>306.53</v>
      </c>
      <c r="U505" s="7">
        <v>3700.0</v>
      </c>
      <c r="V505" s="7">
        <v>0.08</v>
      </c>
      <c r="W505" s="7">
        <v>1498.0</v>
      </c>
      <c r="X505" s="7">
        <v>1373.98</v>
      </c>
      <c r="Y505" s="7">
        <v>1604724.0</v>
      </c>
      <c r="Z505" s="7">
        <v>0.86</v>
      </c>
      <c r="AA505" s="7">
        <v>431.0</v>
      </c>
      <c r="AB505" s="7"/>
      <c r="AC505" s="7"/>
      <c r="AD505" s="7"/>
    </row>
    <row r="506" ht="15.75" customHeight="1">
      <c r="A506" s="6">
        <v>45066.0</v>
      </c>
      <c r="B506" s="7">
        <f t="shared" si="1"/>
        <v>20</v>
      </c>
      <c r="C506" s="7">
        <f t="shared" si="2"/>
        <v>5</v>
      </c>
      <c r="D506" s="7">
        <v>13947.01</v>
      </c>
      <c r="E506" s="7">
        <v>14733.0</v>
      </c>
      <c r="F506" s="7">
        <v>22932.0</v>
      </c>
      <c r="G506" s="7">
        <v>37665.0</v>
      </c>
      <c r="H506" s="7">
        <v>1336.11</v>
      </c>
      <c r="I506" s="7">
        <v>6799.0</v>
      </c>
      <c r="J506" s="7">
        <v>0.197</v>
      </c>
      <c r="K506" s="7">
        <v>4941.0</v>
      </c>
      <c r="L506" s="7">
        <v>4171.1</v>
      </c>
      <c r="M506" s="7">
        <v>5082.0</v>
      </c>
      <c r="N506" s="7">
        <v>0.821</v>
      </c>
      <c r="O506" s="8">
        <v>4206.0</v>
      </c>
      <c r="P506" s="7">
        <v>7598.31</v>
      </c>
      <c r="Q506" s="7">
        <v>3980504.0</v>
      </c>
      <c r="R506" s="7">
        <v>1.91</v>
      </c>
      <c r="S506" s="7">
        <v>11875.0</v>
      </c>
      <c r="T506" s="7">
        <v>250.95</v>
      </c>
      <c r="U506" s="7">
        <v>2461.0</v>
      </c>
      <c r="V506" s="7">
        <v>0.1</v>
      </c>
      <c r="W506" s="7">
        <v>1455.0</v>
      </c>
      <c r="X506" s="7">
        <v>590.54</v>
      </c>
      <c r="Y506" s="7">
        <v>598192.0</v>
      </c>
      <c r="Z506" s="7">
        <v>0.99</v>
      </c>
      <c r="AA506" s="7">
        <v>514.0</v>
      </c>
      <c r="AB506" s="7"/>
      <c r="AC506" s="7"/>
      <c r="AD506" s="7"/>
    </row>
    <row r="507" ht="15.75" customHeight="1">
      <c r="A507" s="6">
        <v>45067.0</v>
      </c>
      <c r="B507" s="7">
        <f t="shared" si="1"/>
        <v>21</v>
      </c>
      <c r="C507" s="7">
        <f t="shared" si="2"/>
        <v>5</v>
      </c>
      <c r="D507" s="7">
        <v>15375.69</v>
      </c>
      <c r="E507" s="7">
        <v>15780.0</v>
      </c>
      <c r="F507" s="7">
        <v>27347.0</v>
      </c>
      <c r="G507" s="7">
        <v>43127.0</v>
      </c>
      <c r="H507" s="7">
        <v>1536.17</v>
      </c>
      <c r="I507" s="7">
        <v>7887.0</v>
      </c>
      <c r="J507" s="7">
        <v>0.195</v>
      </c>
      <c r="K507" s="7">
        <v>5877.0</v>
      </c>
      <c r="L507" s="7">
        <v>5076.25</v>
      </c>
      <c r="M507" s="7">
        <v>6819.0</v>
      </c>
      <c r="N507" s="7">
        <v>0.744</v>
      </c>
      <c r="O507" s="8">
        <v>5728.0</v>
      </c>
      <c r="P507" s="7">
        <v>8239.19</v>
      </c>
      <c r="Q507" s="7">
        <v>4545607.0</v>
      </c>
      <c r="R507" s="7">
        <v>1.81</v>
      </c>
      <c r="S507" s="7">
        <v>13900.0</v>
      </c>
      <c r="T507" s="7">
        <v>246.7</v>
      </c>
      <c r="U507" s="7">
        <v>3730.0</v>
      </c>
      <c r="V507" s="7">
        <v>0.07</v>
      </c>
      <c r="W507" s="7">
        <v>1355.0</v>
      </c>
      <c r="X507" s="7">
        <v>277.38</v>
      </c>
      <c r="Y507" s="7">
        <v>216782.0</v>
      </c>
      <c r="Z507" s="7">
        <v>1.28</v>
      </c>
      <c r="AA507" s="7">
        <v>553.0</v>
      </c>
      <c r="AB507" s="7"/>
      <c r="AC507" s="7"/>
      <c r="AD507" s="7"/>
    </row>
    <row r="508" ht="15.75" customHeight="1">
      <c r="A508" s="6">
        <v>45068.0</v>
      </c>
      <c r="B508" s="7">
        <f t="shared" si="1"/>
        <v>22</v>
      </c>
      <c r="C508" s="7">
        <f t="shared" si="2"/>
        <v>5</v>
      </c>
      <c r="D508" s="7">
        <v>14292.45</v>
      </c>
      <c r="E508" s="7">
        <v>17219.0</v>
      </c>
      <c r="F508" s="7">
        <v>24364.0</v>
      </c>
      <c r="G508" s="7">
        <v>41583.0</v>
      </c>
      <c r="H508" s="7">
        <v>1565.06</v>
      </c>
      <c r="I508" s="7">
        <v>7508.0</v>
      </c>
      <c r="J508" s="7">
        <v>0.208</v>
      </c>
      <c r="K508" s="7">
        <v>5958.0</v>
      </c>
      <c r="L508" s="7">
        <v>4421.48</v>
      </c>
      <c r="M508" s="7">
        <v>5632.0</v>
      </c>
      <c r="N508" s="7">
        <v>0.785</v>
      </c>
      <c r="O508" s="8">
        <v>4820.0</v>
      </c>
      <c r="P508" s="7">
        <v>7701.32</v>
      </c>
      <c r="Q508" s="7">
        <v>4400531.0</v>
      </c>
      <c r="R508" s="7">
        <v>1.75</v>
      </c>
      <c r="S508" s="7">
        <v>11952.0</v>
      </c>
      <c r="T508" s="7">
        <v>336.52</v>
      </c>
      <c r="U508" s="7">
        <v>4093.0</v>
      </c>
      <c r="V508" s="7">
        <v>0.08</v>
      </c>
      <c r="W508" s="7">
        <v>1392.0</v>
      </c>
      <c r="X508" s="7">
        <v>268.07</v>
      </c>
      <c r="Y508" s="7">
        <v>213153.0</v>
      </c>
      <c r="Z508" s="7">
        <v>1.26</v>
      </c>
      <c r="AA508" s="7">
        <v>485.0</v>
      </c>
      <c r="AB508" s="7"/>
      <c r="AC508" s="7"/>
      <c r="AD508" s="7"/>
    </row>
    <row r="509" ht="15.75" customHeight="1">
      <c r="A509" s="6">
        <v>45069.0</v>
      </c>
      <c r="B509" s="7">
        <f t="shared" si="1"/>
        <v>23</v>
      </c>
      <c r="C509" s="7">
        <f t="shared" si="2"/>
        <v>5</v>
      </c>
      <c r="D509" s="7">
        <v>13777.26</v>
      </c>
      <c r="E509" s="7">
        <v>17872.0</v>
      </c>
      <c r="F509" s="7">
        <v>24902.0</v>
      </c>
      <c r="G509" s="7">
        <v>42774.0</v>
      </c>
      <c r="H509" s="7">
        <v>1648.58</v>
      </c>
      <c r="I509" s="7">
        <v>8812.0</v>
      </c>
      <c r="J509" s="7">
        <v>0.187</v>
      </c>
      <c r="K509" s="7">
        <v>6893.0</v>
      </c>
      <c r="L509" s="7">
        <v>4225.02</v>
      </c>
      <c r="M509" s="7">
        <v>5368.0</v>
      </c>
      <c r="N509" s="7">
        <v>0.787</v>
      </c>
      <c r="O509" s="8">
        <v>4691.0</v>
      </c>
      <c r="P509" s="7">
        <v>7309.0</v>
      </c>
      <c r="Q509" s="7">
        <v>3942482.0</v>
      </c>
      <c r="R509" s="7">
        <v>1.85</v>
      </c>
      <c r="S509" s="7">
        <v>11671.0</v>
      </c>
      <c r="T509" s="7">
        <v>351.37</v>
      </c>
      <c r="U509" s="7">
        <v>3554.0</v>
      </c>
      <c r="V509" s="7">
        <v>0.1</v>
      </c>
      <c r="W509" s="7">
        <v>1445.0</v>
      </c>
      <c r="X509" s="7">
        <v>243.29</v>
      </c>
      <c r="Y509" s="7">
        <v>208760.0</v>
      </c>
      <c r="Z509" s="7">
        <v>1.17</v>
      </c>
      <c r="AA509" s="7">
        <v>460.0</v>
      </c>
      <c r="AB509" s="7"/>
      <c r="AC509" s="7"/>
      <c r="AD509" s="7"/>
    </row>
    <row r="510" ht="15.75" customHeight="1">
      <c r="A510" s="6">
        <v>45070.0</v>
      </c>
      <c r="B510" s="7">
        <f t="shared" si="1"/>
        <v>24</v>
      </c>
      <c r="C510" s="7">
        <f t="shared" si="2"/>
        <v>5</v>
      </c>
      <c r="D510" s="7">
        <v>13178.85</v>
      </c>
      <c r="E510" s="7">
        <v>17362.0</v>
      </c>
      <c r="F510" s="7">
        <v>23162.0</v>
      </c>
      <c r="G510" s="7">
        <v>40524.0</v>
      </c>
      <c r="H510" s="7">
        <v>1503.79</v>
      </c>
      <c r="I510" s="7">
        <v>7415.0</v>
      </c>
      <c r="J510" s="7">
        <v>0.203</v>
      </c>
      <c r="K510" s="7">
        <v>6109.0</v>
      </c>
      <c r="L510" s="7">
        <v>4090.48</v>
      </c>
      <c r="M510" s="7">
        <v>5127.0</v>
      </c>
      <c r="N510" s="7">
        <v>0.798</v>
      </c>
      <c r="O510" s="8">
        <v>4545.0</v>
      </c>
      <c r="P510" s="7">
        <v>7047.22</v>
      </c>
      <c r="Q510" s="7">
        <v>3748841.0</v>
      </c>
      <c r="R510" s="7">
        <v>1.88</v>
      </c>
      <c r="S510" s="7">
        <v>10788.0</v>
      </c>
      <c r="T510" s="7">
        <v>299.92</v>
      </c>
      <c r="U510" s="7">
        <v>3980.0</v>
      </c>
      <c r="V510" s="7">
        <v>0.08</v>
      </c>
      <c r="W510" s="7">
        <v>1434.0</v>
      </c>
      <c r="X510" s="7">
        <v>237.44</v>
      </c>
      <c r="Y510" s="7">
        <v>181652.0</v>
      </c>
      <c r="Z510" s="7">
        <v>1.31</v>
      </c>
      <c r="AA510" s="7">
        <v>434.0</v>
      </c>
      <c r="AB510" s="7"/>
      <c r="AC510" s="7"/>
      <c r="AD510" s="7"/>
    </row>
    <row r="511" ht="15.75" customHeight="1">
      <c r="A511" s="6">
        <v>45071.0</v>
      </c>
      <c r="B511" s="7">
        <f t="shared" si="1"/>
        <v>25</v>
      </c>
      <c r="C511" s="7">
        <f t="shared" si="2"/>
        <v>5</v>
      </c>
      <c r="D511" s="7">
        <v>12889.35</v>
      </c>
      <c r="E511" s="7">
        <v>14928.0</v>
      </c>
      <c r="F511" s="7">
        <v>21665.0</v>
      </c>
      <c r="G511" s="7">
        <v>36593.0</v>
      </c>
      <c r="H511" s="7">
        <v>1250.79</v>
      </c>
      <c r="I511" s="7">
        <v>6657.0</v>
      </c>
      <c r="J511" s="7">
        <v>0.188</v>
      </c>
      <c r="K511" s="7">
        <v>5151.0</v>
      </c>
      <c r="L511" s="7">
        <v>3960.58</v>
      </c>
      <c r="M511" s="7">
        <v>4881.0</v>
      </c>
      <c r="N511" s="7">
        <v>0.811</v>
      </c>
      <c r="O511" s="8">
        <v>4216.0</v>
      </c>
      <c r="P511" s="7">
        <v>7186.24</v>
      </c>
      <c r="Q511" s="7">
        <v>3606151.0</v>
      </c>
      <c r="R511" s="7">
        <v>1.99</v>
      </c>
      <c r="S511" s="7">
        <v>10299.0</v>
      </c>
      <c r="T511" s="7">
        <v>257.37</v>
      </c>
      <c r="U511" s="7">
        <v>4119.0</v>
      </c>
      <c r="V511" s="7">
        <v>0.06</v>
      </c>
      <c r="W511" s="7">
        <v>1363.0</v>
      </c>
      <c r="X511" s="7">
        <v>234.37</v>
      </c>
      <c r="Y511" s="7">
        <v>173900.0</v>
      </c>
      <c r="Z511" s="7">
        <v>1.35</v>
      </c>
      <c r="AA511" s="7">
        <v>468.0</v>
      </c>
      <c r="AB511" s="7"/>
      <c r="AC511" s="7"/>
      <c r="AD511" s="7"/>
    </row>
    <row r="512" ht="15.75" customHeight="1">
      <c r="A512" s="6">
        <v>45072.0</v>
      </c>
      <c r="B512" s="7">
        <f t="shared" si="1"/>
        <v>26</v>
      </c>
      <c r="C512" s="7">
        <f t="shared" si="2"/>
        <v>5</v>
      </c>
      <c r="D512" s="7">
        <v>12593.91</v>
      </c>
      <c r="E512" s="7">
        <v>13875.0</v>
      </c>
      <c r="F512" s="7">
        <v>19967.0</v>
      </c>
      <c r="G512" s="7">
        <v>33842.0</v>
      </c>
      <c r="H512" s="7">
        <v>1248.23</v>
      </c>
      <c r="I512" s="7">
        <v>6113.0</v>
      </c>
      <c r="J512" s="7">
        <v>0.204</v>
      </c>
      <c r="K512" s="7">
        <v>4793.0</v>
      </c>
      <c r="L512" s="7">
        <v>3604.94</v>
      </c>
      <c r="M512" s="7">
        <v>4583.0</v>
      </c>
      <c r="N512" s="7">
        <v>0.787</v>
      </c>
      <c r="O512" s="8">
        <v>3896.0</v>
      </c>
      <c r="P512" s="7">
        <v>7208.48</v>
      </c>
      <c r="Q512" s="7">
        <v>3207244.0</v>
      </c>
      <c r="R512" s="7">
        <v>2.25</v>
      </c>
      <c r="S512" s="7">
        <v>9633.0</v>
      </c>
      <c r="T512" s="7">
        <v>301.12</v>
      </c>
      <c r="U512" s="7">
        <v>4126.0</v>
      </c>
      <c r="V512" s="7">
        <v>0.07</v>
      </c>
      <c r="W512" s="7">
        <v>1454.0</v>
      </c>
      <c r="X512" s="7">
        <v>231.14</v>
      </c>
      <c r="Y512" s="7">
        <v>180803.0</v>
      </c>
      <c r="Z512" s="7">
        <v>1.28</v>
      </c>
      <c r="AA512" s="7">
        <v>440.0</v>
      </c>
      <c r="AB512" s="7"/>
      <c r="AC512" s="7"/>
      <c r="AD512" s="7"/>
    </row>
    <row r="513" ht="15.75" customHeight="1">
      <c r="A513" s="6">
        <v>45073.0</v>
      </c>
      <c r="B513" s="7">
        <f t="shared" si="1"/>
        <v>27</v>
      </c>
      <c r="C513" s="7">
        <f t="shared" si="2"/>
        <v>5</v>
      </c>
      <c r="D513" s="7">
        <v>13179.86</v>
      </c>
      <c r="E513" s="7">
        <v>13207.0</v>
      </c>
      <c r="F513" s="7">
        <v>21790.0</v>
      </c>
      <c r="G513" s="7">
        <v>34997.0</v>
      </c>
      <c r="H513" s="7">
        <v>1216.41</v>
      </c>
      <c r="I513" s="7">
        <v>6757.0</v>
      </c>
      <c r="J513" s="7">
        <v>0.18</v>
      </c>
      <c r="K513" s="7">
        <v>4957.0</v>
      </c>
      <c r="L513" s="7">
        <v>3996.49</v>
      </c>
      <c r="M513" s="7">
        <v>5288.0</v>
      </c>
      <c r="N513" s="7">
        <v>0.756</v>
      </c>
      <c r="O513" s="8">
        <v>4382.0</v>
      </c>
      <c r="P513" s="7">
        <v>7496.16</v>
      </c>
      <c r="Q513" s="7">
        <v>3389124.0</v>
      </c>
      <c r="R513" s="7">
        <v>2.21</v>
      </c>
      <c r="S513" s="7">
        <v>10459.0</v>
      </c>
      <c r="T513" s="7">
        <v>238.32</v>
      </c>
      <c r="U513" s="7">
        <v>4137.0</v>
      </c>
      <c r="V513" s="7">
        <v>0.06</v>
      </c>
      <c r="W513" s="7">
        <v>1829.0</v>
      </c>
      <c r="X513" s="7">
        <v>232.48</v>
      </c>
      <c r="Y513" s="7">
        <v>176035.0</v>
      </c>
      <c r="Z513" s="7">
        <v>1.32</v>
      </c>
      <c r="AA513" s="7">
        <v>426.0</v>
      </c>
      <c r="AB513" s="7"/>
      <c r="AC513" s="7"/>
      <c r="AD513" s="7"/>
    </row>
    <row r="514" ht="15.75" customHeight="1">
      <c r="A514" s="6">
        <v>45074.0</v>
      </c>
      <c r="B514" s="7">
        <f t="shared" si="1"/>
        <v>28</v>
      </c>
      <c r="C514" s="7">
        <f t="shared" si="2"/>
        <v>5</v>
      </c>
      <c r="D514" s="7">
        <v>15398.69</v>
      </c>
      <c r="E514" s="7">
        <v>14609.0</v>
      </c>
      <c r="F514" s="7">
        <v>25848.0</v>
      </c>
      <c r="G514" s="7">
        <v>40457.0</v>
      </c>
      <c r="H514" s="7">
        <v>1562.18</v>
      </c>
      <c r="I514" s="7">
        <v>7827.0</v>
      </c>
      <c r="J514" s="7">
        <v>0.2</v>
      </c>
      <c r="K514" s="7">
        <v>5688.0</v>
      </c>
      <c r="L514" s="7">
        <v>5224.36</v>
      </c>
      <c r="M514" s="7">
        <v>6885.0</v>
      </c>
      <c r="N514" s="7">
        <v>0.759</v>
      </c>
      <c r="O514" s="8">
        <v>5620.0</v>
      </c>
      <c r="P514" s="7">
        <v>8096.8</v>
      </c>
      <c r="Q514" s="7">
        <v>4159187.0</v>
      </c>
      <c r="R514" s="7">
        <v>1.95</v>
      </c>
      <c r="S514" s="7">
        <v>12537.0</v>
      </c>
      <c r="T514" s="7">
        <v>280.33</v>
      </c>
      <c r="U514" s="7">
        <v>4704.0</v>
      </c>
      <c r="V514" s="7">
        <v>0.06</v>
      </c>
      <c r="W514" s="7">
        <v>1717.0</v>
      </c>
      <c r="X514" s="7">
        <v>235.02</v>
      </c>
      <c r="Y514" s="7">
        <v>185507.0</v>
      </c>
      <c r="Z514" s="7">
        <v>1.27</v>
      </c>
      <c r="AA514" s="7">
        <v>469.0</v>
      </c>
      <c r="AB514" s="7"/>
      <c r="AC514" s="7"/>
      <c r="AD514" s="7"/>
    </row>
    <row r="515" ht="15.75" customHeight="1">
      <c r="A515" s="6">
        <v>45075.0</v>
      </c>
      <c r="B515" s="7">
        <f t="shared" si="1"/>
        <v>29</v>
      </c>
      <c r="C515" s="7">
        <f t="shared" si="2"/>
        <v>5</v>
      </c>
      <c r="D515" s="7">
        <v>15037.65</v>
      </c>
      <c r="E515" s="7">
        <v>16303.0</v>
      </c>
      <c r="F515" s="7">
        <v>24906.0</v>
      </c>
      <c r="G515" s="7">
        <v>41209.0</v>
      </c>
      <c r="H515" s="7">
        <v>1575.55</v>
      </c>
      <c r="I515" s="7">
        <v>7464.0</v>
      </c>
      <c r="J515" s="7">
        <v>0.211</v>
      </c>
      <c r="K515" s="7">
        <v>5850.0</v>
      </c>
      <c r="L515" s="7">
        <v>5041.44</v>
      </c>
      <c r="M515" s="7">
        <v>6018.0</v>
      </c>
      <c r="N515" s="7">
        <v>0.838</v>
      </c>
      <c r="O515" s="8">
        <v>5274.0</v>
      </c>
      <c r="P515" s="7">
        <v>7803.32</v>
      </c>
      <c r="Q515" s="7">
        <v>4247762.0</v>
      </c>
      <c r="R515" s="7">
        <v>1.84</v>
      </c>
      <c r="S515" s="7">
        <v>11602.0</v>
      </c>
      <c r="T515" s="7">
        <v>385.15</v>
      </c>
      <c r="U515" s="7">
        <v>3741.0</v>
      </c>
      <c r="V515" s="7">
        <v>0.1</v>
      </c>
      <c r="W515" s="7">
        <v>1720.0</v>
      </c>
      <c r="X515" s="7">
        <v>232.19</v>
      </c>
      <c r="Y515" s="7">
        <v>206681.0</v>
      </c>
      <c r="Z515" s="7">
        <v>1.12</v>
      </c>
      <c r="AA515" s="7">
        <v>387.0</v>
      </c>
      <c r="AB515" s="7"/>
      <c r="AC515" s="7"/>
      <c r="AD515" s="7"/>
    </row>
    <row r="516" ht="15.75" customHeight="1">
      <c r="A516" s="6">
        <v>45076.0</v>
      </c>
      <c r="B516" s="7">
        <f t="shared" si="1"/>
        <v>30</v>
      </c>
      <c r="C516" s="7">
        <f t="shared" si="2"/>
        <v>5</v>
      </c>
      <c r="D516" s="7">
        <v>15254.15</v>
      </c>
      <c r="E516" s="7">
        <v>17598.0</v>
      </c>
      <c r="F516" s="7">
        <v>25196.0</v>
      </c>
      <c r="G516" s="7">
        <v>42794.0</v>
      </c>
      <c r="H516" s="7">
        <v>2302.37</v>
      </c>
      <c r="I516" s="7">
        <v>8696.0</v>
      </c>
      <c r="J516" s="7">
        <v>0.265</v>
      </c>
      <c r="K516" s="7">
        <v>6603.0</v>
      </c>
      <c r="L516" s="7">
        <v>5021.82</v>
      </c>
      <c r="M516" s="7">
        <v>6005.0</v>
      </c>
      <c r="N516" s="7">
        <v>0.836</v>
      </c>
      <c r="O516" s="8">
        <v>5317.0</v>
      </c>
      <c r="P516" s="7">
        <v>7374.04</v>
      </c>
      <c r="Q516" s="7">
        <v>3818924.0</v>
      </c>
      <c r="R516" s="7">
        <v>1.93</v>
      </c>
      <c r="S516" s="7">
        <v>11018.0</v>
      </c>
      <c r="T516" s="7">
        <v>332.84</v>
      </c>
      <c r="U516" s="7">
        <v>3625.0</v>
      </c>
      <c r="V516" s="7">
        <v>0.09</v>
      </c>
      <c r="W516" s="7">
        <v>2120.0</v>
      </c>
      <c r="X516" s="7">
        <v>223.08</v>
      </c>
      <c r="Y516" s="7">
        <v>145402.0</v>
      </c>
      <c r="Z516" s="7">
        <v>1.53</v>
      </c>
      <c r="AA516" s="7">
        <v>396.0</v>
      </c>
      <c r="AB516" s="7"/>
      <c r="AC516" s="7"/>
      <c r="AD516" s="7"/>
    </row>
    <row r="517" ht="15.75" customHeight="1">
      <c r="A517" s="6">
        <v>45077.0</v>
      </c>
      <c r="B517" s="7">
        <f t="shared" si="1"/>
        <v>31</v>
      </c>
      <c r="C517" s="7">
        <f t="shared" si="2"/>
        <v>5</v>
      </c>
      <c r="D517" s="7">
        <v>14337.94</v>
      </c>
      <c r="E517" s="7">
        <v>17857.0</v>
      </c>
      <c r="F517" s="7">
        <v>22851.0</v>
      </c>
      <c r="G517" s="7">
        <v>40708.0</v>
      </c>
      <c r="H517" s="7">
        <v>2251.64</v>
      </c>
      <c r="I517" s="7">
        <v>8204.0</v>
      </c>
      <c r="J517" s="7">
        <v>0.274</v>
      </c>
      <c r="K517" s="7">
        <v>6416.0</v>
      </c>
      <c r="L517" s="7">
        <v>4191.89</v>
      </c>
      <c r="M517" s="7">
        <v>5190.0</v>
      </c>
      <c r="N517" s="7">
        <v>0.808</v>
      </c>
      <c r="O517" s="8">
        <v>4373.0</v>
      </c>
      <c r="P517" s="7">
        <v>7357.76</v>
      </c>
      <c r="Q517" s="7">
        <v>3755193.0</v>
      </c>
      <c r="R517" s="7">
        <v>1.96</v>
      </c>
      <c r="S517" s="7">
        <v>10144.0</v>
      </c>
      <c r="T517" s="7">
        <v>316.45</v>
      </c>
      <c r="U517" s="7">
        <v>3092.0</v>
      </c>
      <c r="V517" s="7">
        <v>0.1</v>
      </c>
      <c r="W517" s="7">
        <v>1928.0</v>
      </c>
      <c r="X517" s="7">
        <v>220.2</v>
      </c>
      <c r="Y517" s="7">
        <v>150028.0</v>
      </c>
      <c r="Z517" s="7">
        <v>1.47</v>
      </c>
      <c r="AA517" s="7">
        <v>430.0</v>
      </c>
      <c r="AB517" s="7"/>
      <c r="AC517" s="7"/>
      <c r="AD517" s="7"/>
    </row>
    <row r="518" ht="15.75" customHeight="1">
      <c r="A518" s="6">
        <v>45078.0</v>
      </c>
      <c r="B518" s="7">
        <f t="shared" si="1"/>
        <v>1</v>
      </c>
      <c r="C518" s="7">
        <f t="shared" si="2"/>
        <v>6</v>
      </c>
      <c r="D518" s="7">
        <v>12769.54</v>
      </c>
      <c r="E518" s="7">
        <v>14779.0</v>
      </c>
      <c r="F518" s="7">
        <v>20391.0</v>
      </c>
      <c r="G518" s="7">
        <v>35170.0</v>
      </c>
      <c r="H518" s="7">
        <v>1981.06</v>
      </c>
      <c r="I518" s="7">
        <v>6150.0</v>
      </c>
      <c r="J518" s="7">
        <v>0.322</v>
      </c>
      <c r="K518" s="7">
        <v>4940.0</v>
      </c>
      <c r="L518" s="7">
        <v>3408.34</v>
      </c>
      <c r="M518" s="7">
        <v>4184.0</v>
      </c>
      <c r="N518" s="7">
        <v>0.815</v>
      </c>
      <c r="O518" s="8">
        <v>3624.0</v>
      </c>
      <c r="P518" s="7">
        <v>6839.8</v>
      </c>
      <c r="Q518" s="7">
        <v>3954964.0</v>
      </c>
      <c r="R518" s="7">
        <v>1.73</v>
      </c>
      <c r="S518" s="7">
        <v>9878.0</v>
      </c>
      <c r="T518" s="7">
        <v>320.13</v>
      </c>
      <c r="U518" s="7">
        <v>3801.0</v>
      </c>
      <c r="V518" s="7">
        <v>0.08</v>
      </c>
      <c r="W518" s="7">
        <v>1674.0</v>
      </c>
      <c r="X518" s="7">
        <v>220.21</v>
      </c>
      <c r="Y518" s="7">
        <v>202451.0</v>
      </c>
      <c r="Z518" s="7">
        <v>1.09</v>
      </c>
      <c r="AA518" s="7">
        <v>411.0</v>
      </c>
      <c r="AB518" s="7"/>
      <c r="AC518" s="7"/>
      <c r="AD518" s="7"/>
    </row>
    <row r="519" ht="15.75" customHeight="1">
      <c r="A519" s="6">
        <v>45079.0</v>
      </c>
      <c r="B519" s="7">
        <f t="shared" si="1"/>
        <v>2</v>
      </c>
      <c r="C519" s="7">
        <f t="shared" si="2"/>
        <v>6</v>
      </c>
      <c r="D519" s="7">
        <v>12955.34</v>
      </c>
      <c r="E519" s="7">
        <v>13151.0</v>
      </c>
      <c r="F519" s="7">
        <v>21184.0</v>
      </c>
      <c r="G519" s="7">
        <v>34335.0</v>
      </c>
      <c r="H519" s="7">
        <v>1798.81</v>
      </c>
      <c r="I519" s="7">
        <v>6512.0</v>
      </c>
      <c r="J519" s="7">
        <v>0.276</v>
      </c>
      <c r="K519" s="7">
        <v>4771.0</v>
      </c>
      <c r="L519" s="7">
        <v>4290.08</v>
      </c>
      <c r="M519" s="7">
        <v>5599.0</v>
      </c>
      <c r="N519" s="7">
        <v>0.766</v>
      </c>
      <c r="O519" s="8">
        <v>4569.0</v>
      </c>
      <c r="P519" s="7">
        <v>6397.65</v>
      </c>
      <c r="Q519" s="7">
        <v>3851433.0</v>
      </c>
      <c r="R519" s="7">
        <v>1.66</v>
      </c>
      <c r="S519" s="7">
        <v>9680.0</v>
      </c>
      <c r="T519" s="7">
        <v>249.26</v>
      </c>
      <c r="U519" s="7">
        <v>3824.0</v>
      </c>
      <c r="V519" s="7">
        <v>0.07</v>
      </c>
      <c r="W519" s="7">
        <v>1434.0</v>
      </c>
      <c r="X519" s="7">
        <v>219.54</v>
      </c>
      <c r="Y519" s="7">
        <v>161937.0</v>
      </c>
      <c r="Z519" s="7">
        <v>1.36</v>
      </c>
      <c r="AA519" s="7">
        <v>467.0</v>
      </c>
      <c r="AB519" s="7"/>
      <c r="AC519" s="7"/>
      <c r="AD519" s="7"/>
    </row>
    <row r="520" ht="15.75" customHeight="1">
      <c r="A520" s="6">
        <v>45080.0</v>
      </c>
      <c r="B520" s="7">
        <f t="shared" si="1"/>
        <v>3</v>
      </c>
      <c r="C520" s="7">
        <f t="shared" si="2"/>
        <v>6</v>
      </c>
      <c r="D520" s="7">
        <v>12715.73</v>
      </c>
      <c r="E520" s="7">
        <v>12550.0</v>
      </c>
      <c r="F520" s="7">
        <v>22156.0</v>
      </c>
      <c r="G520" s="7">
        <v>34706.0</v>
      </c>
      <c r="H520" s="7">
        <v>1653.35</v>
      </c>
      <c r="I520" s="7">
        <v>6534.0</v>
      </c>
      <c r="J520" s="7">
        <v>0.253</v>
      </c>
      <c r="K520" s="7">
        <v>4882.0</v>
      </c>
      <c r="L520" s="7">
        <v>4515.38</v>
      </c>
      <c r="M520" s="7">
        <v>5773.0</v>
      </c>
      <c r="N520" s="7">
        <v>0.782</v>
      </c>
      <c r="O520" s="8">
        <v>4856.0</v>
      </c>
      <c r="P520" s="7">
        <v>6067.75</v>
      </c>
      <c r="Q520" s="7">
        <v>3991130.0</v>
      </c>
      <c r="R520" s="7">
        <v>1.52</v>
      </c>
      <c r="S520" s="7">
        <v>10096.0</v>
      </c>
      <c r="T520" s="7">
        <v>261.5</v>
      </c>
      <c r="U520" s="7">
        <v>3655.0</v>
      </c>
      <c r="V520" s="7">
        <v>0.07</v>
      </c>
      <c r="W520" s="7">
        <v>2026.0</v>
      </c>
      <c r="X520" s="7">
        <v>217.75</v>
      </c>
      <c r="Y520" s="7">
        <v>155294.0</v>
      </c>
      <c r="Z520" s="7">
        <v>1.4</v>
      </c>
      <c r="AA520" s="7">
        <v>419.0</v>
      </c>
      <c r="AB520" s="7"/>
      <c r="AC520" s="7"/>
      <c r="AD520" s="7"/>
    </row>
    <row r="521" ht="15.75" customHeight="1">
      <c r="A521" s="6">
        <v>45081.0</v>
      </c>
      <c r="B521" s="7">
        <f t="shared" si="1"/>
        <v>4</v>
      </c>
      <c r="C521" s="7">
        <f t="shared" si="2"/>
        <v>6</v>
      </c>
      <c r="D521" s="7">
        <v>14309.79</v>
      </c>
      <c r="E521" s="7">
        <v>15549.0</v>
      </c>
      <c r="F521" s="7">
        <v>26152.0</v>
      </c>
      <c r="G521" s="7">
        <v>41701.0</v>
      </c>
      <c r="H521" s="7">
        <v>1873.76</v>
      </c>
      <c r="I521" s="7">
        <v>7986.0</v>
      </c>
      <c r="J521" s="7">
        <v>0.235</v>
      </c>
      <c r="K521" s="7">
        <v>5817.0</v>
      </c>
      <c r="L521" s="7">
        <v>5445.69</v>
      </c>
      <c r="M521" s="7">
        <v>7705.0</v>
      </c>
      <c r="N521" s="7">
        <v>0.707</v>
      </c>
      <c r="O521" s="8">
        <v>6457.0</v>
      </c>
      <c r="P521" s="7">
        <v>6521.37</v>
      </c>
      <c r="Q521" s="7">
        <v>4528777.0</v>
      </c>
      <c r="R521" s="7">
        <v>1.44</v>
      </c>
      <c r="S521" s="7">
        <v>11535.0</v>
      </c>
      <c r="T521" s="7">
        <v>247.94</v>
      </c>
      <c r="U521" s="7">
        <v>2601.0</v>
      </c>
      <c r="V521" s="7">
        <v>0.1</v>
      </c>
      <c r="W521" s="7">
        <v>2033.0</v>
      </c>
      <c r="X521" s="7">
        <v>221.03</v>
      </c>
      <c r="Y521" s="7">
        <v>186098.0</v>
      </c>
      <c r="Z521" s="7">
        <v>1.19</v>
      </c>
      <c r="AA521" s="7">
        <v>551.0</v>
      </c>
      <c r="AB521" s="7"/>
      <c r="AC521" s="7"/>
      <c r="AD521" s="7"/>
    </row>
    <row r="522" ht="15.75" customHeight="1">
      <c r="A522" s="6">
        <v>45082.0</v>
      </c>
      <c r="B522" s="7">
        <f t="shared" si="1"/>
        <v>5</v>
      </c>
      <c r="C522" s="7">
        <f t="shared" si="2"/>
        <v>6</v>
      </c>
      <c r="D522" s="7">
        <v>13585.12</v>
      </c>
      <c r="E522" s="7">
        <v>17510.0</v>
      </c>
      <c r="F522" s="7">
        <v>23296.0</v>
      </c>
      <c r="G522" s="7">
        <v>40806.0</v>
      </c>
      <c r="H522" s="7">
        <v>1816.14</v>
      </c>
      <c r="I522" s="7">
        <v>7473.0</v>
      </c>
      <c r="J522" s="7">
        <v>0.243</v>
      </c>
      <c r="K522" s="7">
        <v>5830.0</v>
      </c>
      <c r="L522" s="7">
        <v>4320.06</v>
      </c>
      <c r="M522" s="7">
        <v>5798.0</v>
      </c>
      <c r="N522" s="7">
        <v>0.745</v>
      </c>
      <c r="O522" s="8">
        <v>5296.0</v>
      </c>
      <c r="P522" s="7">
        <v>6853.52</v>
      </c>
      <c r="Q522" s="7">
        <v>4748684.0</v>
      </c>
      <c r="R522" s="7">
        <v>1.44</v>
      </c>
      <c r="S522" s="7">
        <v>10285.0</v>
      </c>
      <c r="T522" s="7">
        <v>374.44</v>
      </c>
      <c r="U522" s="7">
        <v>3807.0</v>
      </c>
      <c r="V522" s="7">
        <v>0.1</v>
      </c>
      <c r="W522" s="7">
        <v>2038.0</v>
      </c>
      <c r="X522" s="7">
        <v>220.96</v>
      </c>
      <c r="Y522" s="7">
        <v>225784.0</v>
      </c>
      <c r="Z522" s="7">
        <v>0.98</v>
      </c>
      <c r="AA522" s="7">
        <v>507.0</v>
      </c>
      <c r="AB522" s="7"/>
      <c r="AC522" s="7"/>
      <c r="AD522" s="7"/>
    </row>
    <row r="523" ht="15.75" customHeight="1">
      <c r="A523" s="6">
        <v>45083.0</v>
      </c>
      <c r="B523" s="7">
        <f t="shared" si="1"/>
        <v>6</v>
      </c>
      <c r="C523" s="7">
        <f t="shared" si="2"/>
        <v>6</v>
      </c>
      <c r="D523" s="7">
        <v>14147.02</v>
      </c>
      <c r="E523" s="7">
        <v>17513.0</v>
      </c>
      <c r="F523" s="7">
        <v>24264.0</v>
      </c>
      <c r="G523" s="7">
        <v>41777.0</v>
      </c>
      <c r="H523" s="7">
        <v>2185.19</v>
      </c>
      <c r="I523" s="7">
        <v>8796.0</v>
      </c>
      <c r="J523" s="7">
        <v>0.248</v>
      </c>
      <c r="K523" s="7">
        <v>6886.0</v>
      </c>
      <c r="L523" s="7">
        <v>4402.21</v>
      </c>
      <c r="M523" s="7">
        <v>5616.0</v>
      </c>
      <c r="N523" s="7">
        <v>0.784</v>
      </c>
      <c r="O523" s="8">
        <v>4953.0</v>
      </c>
      <c r="P523" s="7">
        <v>7020.96</v>
      </c>
      <c r="Q523" s="7">
        <v>4205382.0</v>
      </c>
      <c r="R523" s="7">
        <v>1.67</v>
      </c>
      <c r="S523" s="7">
        <v>11119.0</v>
      </c>
      <c r="T523" s="7">
        <v>317.91</v>
      </c>
      <c r="U523" s="7">
        <v>3653.0</v>
      </c>
      <c r="V523" s="7">
        <v>0.09</v>
      </c>
      <c r="W523" s="7">
        <v>1604.0</v>
      </c>
      <c r="X523" s="7">
        <v>220.75</v>
      </c>
      <c r="Y523" s="7">
        <v>167784.0</v>
      </c>
      <c r="Z523" s="7">
        <v>1.32</v>
      </c>
      <c r="AA523" s="7">
        <v>336.0</v>
      </c>
      <c r="AB523" s="7"/>
      <c r="AC523" s="7"/>
      <c r="AD523" s="7"/>
    </row>
    <row r="524" ht="15.75" customHeight="1">
      <c r="A524" s="6">
        <v>45084.0</v>
      </c>
      <c r="B524" s="7">
        <f t="shared" si="1"/>
        <v>7</v>
      </c>
      <c r="C524" s="7">
        <f t="shared" si="2"/>
        <v>6</v>
      </c>
      <c r="D524" s="7">
        <v>13618.59</v>
      </c>
      <c r="E524" s="7">
        <v>17061.0</v>
      </c>
      <c r="F524" s="7">
        <v>23325.0</v>
      </c>
      <c r="G524" s="7">
        <v>40386.0</v>
      </c>
      <c r="H524" s="7">
        <v>1880.58</v>
      </c>
      <c r="I524" s="7">
        <v>7780.0</v>
      </c>
      <c r="J524" s="7">
        <v>0.242</v>
      </c>
      <c r="K524" s="7">
        <v>6042.0</v>
      </c>
      <c r="L524" s="7">
        <v>4163.3</v>
      </c>
      <c r="M524" s="7">
        <v>5218.0</v>
      </c>
      <c r="N524" s="7">
        <v>0.798</v>
      </c>
      <c r="O524" s="8">
        <v>4737.0</v>
      </c>
      <c r="P524" s="7">
        <v>7013.2</v>
      </c>
      <c r="Q524" s="7">
        <v>3997720.0</v>
      </c>
      <c r="R524" s="7">
        <v>1.75</v>
      </c>
      <c r="S524" s="7">
        <v>10192.0</v>
      </c>
      <c r="T524" s="7">
        <v>341.19</v>
      </c>
      <c r="U524" s="7">
        <v>4333.0</v>
      </c>
      <c r="V524" s="7">
        <v>0.08</v>
      </c>
      <c r="W524" s="7">
        <v>1819.0</v>
      </c>
      <c r="X524" s="7">
        <v>220.32</v>
      </c>
      <c r="Y524" s="7">
        <v>187904.0</v>
      </c>
      <c r="Z524" s="7">
        <v>1.17</v>
      </c>
      <c r="AA524" s="7">
        <v>391.0</v>
      </c>
      <c r="AB524" s="7"/>
      <c r="AC524" s="7"/>
      <c r="AD524" s="7"/>
    </row>
    <row r="525" ht="15.75" customHeight="1">
      <c r="A525" s="6">
        <v>45085.0</v>
      </c>
      <c r="B525" s="7">
        <f t="shared" si="1"/>
        <v>8</v>
      </c>
      <c r="C525" s="7">
        <f t="shared" si="2"/>
        <v>6</v>
      </c>
      <c r="D525" s="7">
        <v>13004.6</v>
      </c>
      <c r="E525" s="7">
        <v>15069.0</v>
      </c>
      <c r="F525" s="7">
        <v>20689.0</v>
      </c>
      <c r="G525" s="7">
        <v>35758.0</v>
      </c>
      <c r="H525" s="7">
        <v>1650.42</v>
      </c>
      <c r="I525" s="7">
        <v>6721.0</v>
      </c>
      <c r="J525" s="7">
        <v>0.246</v>
      </c>
      <c r="K525" s="7">
        <v>5207.0</v>
      </c>
      <c r="L525" s="7">
        <v>3959.23</v>
      </c>
      <c r="M525" s="7">
        <v>5030.0</v>
      </c>
      <c r="N525" s="7">
        <v>0.787</v>
      </c>
      <c r="O525" s="8">
        <v>4413.0</v>
      </c>
      <c r="P525" s="7">
        <v>6888.29</v>
      </c>
      <c r="Q525" s="7">
        <v>3989081.0</v>
      </c>
      <c r="R525" s="7">
        <v>1.73</v>
      </c>
      <c r="S525" s="7">
        <v>9589.0</v>
      </c>
      <c r="T525" s="7">
        <v>286.45</v>
      </c>
      <c r="U525" s="7">
        <v>3596.0</v>
      </c>
      <c r="V525" s="7">
        <v>0.08</v>
      </c>
      <c r="W525" s="7">
        <v>1810.0</v>
      </c>
      <c r="X525" s="7">
        <v>220.21</v>
      </c>
      <c r="Y525" s="7">
        <v>173217.0</v>
      </c>
      <c r="Z525" s="7">
        <v>1.27</v>
      </c>
      <c r="AA525" s="7">
        <v>374.0</v>
      </c>
      <c r="AB525" s="7"/>
      <c r="AC525" s="7"/>
      <c r="AD525" s="7"/>
    </row>
    <row r="526" ht="15.75" customHeight="1">
      <c r="A526" s="6">
        <v>45086.0</v>
      </c>
      <c r="B526" s="7">
        <f t="shared" si="1"/>
        <v>9</v>
      </c>
      <c r="C526" s="7">
        <f t="shared" si="2"/>
        <v>6</v>
      </c>
      <c r="D526" s="7">
        <v>12829.3</v>
      </c>
      <c r="E526" s="7">
        <v>15741.0</v>
      </c>
      <c r="F526" s="7">
        <v>20363.0</v>
      </c>
      <c r="G526" s="7">
        <v>36104.0</v>
      </c>
      <c r="H526" s="7">
        <v>1601.97</v>
      </c>
      <c r="I526" s="7">
        <v>6209.0</v>
      </c>
      <c r="J526" s="7">
        <v>0.258</v>
      </c>
      <c r="K526" s="7">
        <v>5027.0</v>
      </c>
      <c r="L526" s="7">
        <v>3846.38</v>
      </c>
      <c r="M526" s="7">
        <v>4713.0</v>
      </c>
      <c r="N526" s="7">
        <v>0.816</v>
      </c>
      <c r="O526" s="8">
        <v>4035.0</v>
      </c>
      <c r="P526" s="7">
        <v>6885.1</v>
      </c>
      <c r="Q526" s="7">
        <v>3898841.0</v>
      </c>
      <c r="R526" s="7">
        <v>1.77</v>
      </c>
      <c r="S526" s="7">
        <v>9246.0</v>
      </c>
      <c r="T526" s="7">
        <v>276.61</v>
      </c>
      <c r="U526" s="7">
        <v>3212.0</v>
      </c>
      <c r="V526" s="7">
        <v>0.09</v>
      </c>
      <c r="W526" s="7">
        <v>1666.0</v>
      </c>
      <c r="X526" s="7">
        <v>219.24</v>
      </c>
      <c r="Y526" s="7">
        <v>159907.0</v>
      </c>
      <c r="Z526" s="7">
        <v>1.37</v>
      </c>
      <c r="AA526" s="7">
        <v>309.0</v>
      </c>
      <c r="AB526" s="7"/>
      <c r="AC526" s="7"/>
      <c r="AD526" s="7"/>
    </row>
    <row r="527" ht="15.75" customHeight="1">
      <c r="A527" s="6">
        <v>45087.0</v>
      </c>
      <c r="B527" s="7">
        <f t="shared" si="1"/>
        <v>10</v>
      </c>
      <c r="C527" s="7">
        <f t="shared" si="2"/>
        <v>6</v>
      </c>
      <c r="D527" s="7">
        <v>13464.22</v>
      </c>
      <c r="E527" s="7">
        <v>17459.0</v>
      </c>
      <c r="F527" s="7">
        <v>22223.0</v>
      </c>
      <c r="G527" s="7">
        <v>39682.0</v>
      </c>
      <c r="H527" s="7">
        <v>1690.89</v>
      </c>
      <c r="I527" s="7">
        <v>6356.0</v>
      </c>
      <c r="J527" s="7">
        <v>0.266</v>
      </c>
      <c r="K527" s="7">
        <v>4810.0</v>
      </c>
      <c r="L527" s="7">
        <v>4183.54</v>
      </c>
      <c r="M527" s="7">
        <v>5445.0</v>
      </c>
      <c r="N527" s="7">
        <v>0.768</v>
      </c>
      <c r="O527" s="8">
        <v>4567.0</v>
      </c>
      <c r="P527" s="7">
        <v>7131.7</v>
      </c>
      <c r="Q527" s="7">
        <v>3948797.0</v>
      </c>
      <c r="R527" s="7">
        <v>1.81</v>
      </c>
      <c r="S527" s="7">
        <v>10749.0</v>
      </c>
      <c r="T527" s="7">
        <v>240.6</v>
      </c>
      <c r="U527" s="7">
        <v>3162.0</v>
      </c>
      <c r="V527" s="7">
        <v>0.08</v>
      </c>
      <c r="W527" s="7">
        <v>1764.0</v>
      </c>
      <c r="X527" s="7">
        <v>217.49</v>
      </c>
      <c r="Y527" s="7">
        <v>153113.0</v>
      </c>
      <c r="Z527" s="7">
        <v>1.42</v>
      </c>
      <c r="AA527" s="7">
        <v>357.0</v>
      </c>
      <c r="AB527" s="7"/>
      <c r="AC527" s="7"/>
      <c r="AD527" s="7"/>
    </row>
    <row r="528" ht="15.75" customHeight="1">
      <c r="A528" s="6">
        <v>45088.0</v>
      </c>
      <c r="B528" s="7">
        <f t="shared" si="1"/>
        <v>11</v>
      </c>
      <c r="C528" s="7">
        <f t="shared" si="2"/>
        <v>6</v>
      </c>
      <c r="D528" s="7">
        <v>15113.45</v>
      </c>
      <c r="E528" s="7">
        <v>19858.0</v>
      </c>
      <c r="F528" s="7">
        <v>27275.0</v>
      </c>
      <c r="G528" s="7">
        <v>47133.0</v>
      </c>
      <c r="H528" s="7">
        <v>1907.51</v>
      </c>
      <c r="I528" s="7">
        <v>7969.0</v>
      </c>
      <c r="J528" s="7">
        <v>0.239</v>
      </c>
      <c r="K528" s="7">
        <v>5810.0</v>
      </c>
      <c r="L528" s="7">
        <v>5171.24</v>
      </c>
      <c r="M528" s="7">
        <v>6997.0</v>
      </c>
      <c r="N528" s="7">
        <v>0.739</v>
      </c>
      <c r="O528" s="8">
        <v>5968.0</v>
      </c>
      <c r="P528" s="7">
        <v>7553.18</v>
      </c>
      <c r="Q528" s="7">
        <v>4562140.0</v>
      </c>
      <c r="R528" s="7">
        <v>1.66</v>
      </c>
      <c r="S528" s="7">
        <v>13390.0</v>
      </c>
      <c r="T528" s="7">
        <v>260.8</v>
      </c>
      <c r="U528" s="7">
        <v>2543.0</v>
      </c>
      <c r="V528" s="7">
        <v>0.1</v>
      </c>
      <c r="W528" s="7">
        <v>1710.0</v>
      </c>
      <c r="X528" s="7">
        <v>220.72</v>
      </c>
      <c r="Y528" s="7">
        <v>161626.0</v>
      </c>
      <c r="Z528" s="7">
        <v>1.37</v>
      </c>
      <c r="AA528" s="7">
        <v>386.0</v>
      </c>
      <c r="AB528" s="7"/>
      <c r="AC528" s="7"/>
      <c r="AD528" s="7"/>
    </row>
    <row r="529" ht="15.75" customHeight="1">
      <c r="A529" s="6">
        <v>45089.0</v>
      </c>
      <c r="B529" s="7">
        <f t="shared" si="1"/>
        <v>12</v>
      </c>
      <c r="C529" s="7">
        <f t="shared" si="2"/>
        <v>6</v>
      </c>
      <c r="D529" s="7">
        <v>13960.34</v>
      </c>
      <c r="E529" s="7">
        <v>20073.0</v>
      </c>
      <c r="F529" s="7">
        <v>23236.0</v>
      </c>
      <c r="G529" s="7">
        <v>43309.0</v>
      </c>
      <c r="H529" s="7">
        <v>2081.54</v>
      </c>
      <c r="I529" s="7">
        <v>7561.0</v>
      </c>
      <c r="J529" s="7">
        <v>0.275</v>
      </c>
      <c r="K529" s="7">
        <v>5816.0</v>
      </c>
      <c r="L529" s="7">
        <v>4253.63</v>
      </c>
      <c r="M529" s="7">
        <v>5315.0</v>
      </c>
      <c r="N529" s="7">
        <v>0.8</v>
      </c>
      <c r="O529" s="8">
        <v>4585.0</v>
      </c>
      <c r="P529" s="7">
        <v>7075.23</v>
      </c>
      <c r="Q529" s="7">
        <v>4643470.0</v>
      </c>
      <c r="R529" s="7">
        <v>1.52</v>
      </c>
      <c r="S529" s="7">
        <v>11628.0</v>
      </c>
      <c r="T529" s="7">
        <v>329.04</v>
      </c>
      <c r="U529" s="7">
        <v>2991.0</v>
      </c>
      <c r="V529" s="7">
        <v>0.11</v>
      </c>
      <c r="W529" s="7">
        <v>1457.0</v>
      </c>
      <c r="X529" s="7">
        <v>220.9</v>
      </c>
      <c r="Y529" s="7">
        <v>174956.0</v>
      </c>
      <c r="Z529" s="7">
        <v>1.26</v>
      </c>
      <c r="AA529" s="7">
        <v>355.0</v>
      </c>
      <c r="AB529" s="7"/>
      <c r="AC529" s="7"/>
      <c r="AD529" s="7"/>
    </row>
    <row r="530" ht="15.75" customHeight="1">
      <c r="A530" s="6">
        <v>45090.0</v>
      </c>
      <c r="B530" s="7">
        <f t="shared" si="1"/>
        <v>13</v>
      </c>
      <c r="C530" s="7">
        <f t="shared" si="2"/>
        <v>6</v>
      </c>
      <c r="D530" s="7">
        <v>13295.49</v>
      </c>
      <c r="E530" s="7">
        <v>20638.0</v>
      </c>
      <c r="F530" s="7">
        <v>23936.0</v>
      </c>
      <c r="G530" s="7">
        <v>44574.0</v>
      </c>
      <c r="H530" s="7">
        <v>1943.31</v>
      </c>
      <c r="I530" s="7">
        <v>8962.0</v>
      </c>
      <c r="J530" s="7">
        <v>0.217</v>
      </c>
      <c r="K530" s="7">
        <v>6973.0</v>
      </c>
      <c r="L530" s="7">
        <v>4206.46</v>
      </c>
      <c r="M530" s="7">
        <v>5172.0</v>
      </c>
      <c r="N530" s="7">
        <v>0.813</v>
      </c>
      <c r="O530" s="8">
        <v>4582.0</v>
      </c>
      <c r="P530" s="7">
        <v>6524.38</v>
      </c>
      <c r="Q530" s="7">
        <v>3878495.0</v>
      </c>
      <c r="R530" s="7">
        <v>1.68</v>
      </c>
      <c r="S530" s="7">
        <v>10079.0</v>
      </c>
      <c r="T530" s="7">
        <v>400.59</v>
      </c>
      <c r="U530" s="7">
        <v>5063.0</v>
      </c>
      <c r="V530" s="7">
        <v>0.08</v>
      </c>
      <c r="W530" s="7">
        <v>1811.0</v>
      </c>
      <c r="X530" s="7">
        <v>220.75</v>
      </c>
      <c r="Y530" s="7">
        <v>179727.0</v>
      </c>
      <c r="Z530" s="7">
        <v>1.23</v>
      </c>
      <c r="AA530" s="7">
        <v>389.0</v>
      </c>
      <c r="AB530" s="7"/>
      <c r="AC530" s="7"/>
      <c r="AD530" s="7"/>
    </row>
    <row r="531" ht="15.75" customHeight="1">
      <c r="A531" s="6">
        <v>45091.0</v>
      </c>
      <c r="B531" s="7">
        <f t="shared" si="1"/>
        <v>14</v>
      </c>
      <c r="C531" s="7">
        <f t="shared" si="2"/>
        <v>6</v>
      </c>
      <c r="D531" s="7">
        <v>12123.22</v>
      </c>
      <c r="E531" s="7">
        <v>19221.0</v>
      </c>
      <c r="F531" s="7">
        <v>21288.0</v>
      </c>
      <c r="G531" s="7">
        <v>40509.0</v>
      </c>
      <c r="H531" s="7">
        <v>1693.98</v>
      </c>
      <c r="I531" s="7">
        <v>7745.0</v>
      </c>
      <c r="J531" s="7">
        <v>0.219</v>
      </c>
      <c r="K531" s="7">
        <v>6029.0</v>
      </c>
      <c r="L531" s="7">
        <v>3757.8</v>
      </c>
      <c r="M531" s="7">
        <v>4471.0</v>
      </c>
      <c r="N531" s="7">
        <v>0.84</v>
      </c>
      <c r="O531" s="8">
        <v>4127.0</v>
      </c>
      <c r="P531" s="7">
        <v>6131.14</v>
      </c>
      <c r="Q531" s="7">
        <v>3482971.0</v>
      </c>
      <c r="R531" s="7">
        <v>1.76</v>
      </c>
      <c r="S531" s="7">
        <v>9436.0</v>
      </c>
      <c r="T531" s="7">
        <v>320.38</v>
      </c>
      <c r="U531" s="7">
        <v>2224.0</v>
      </c>
      <c r="V531" s="7">
        <v>0.14</v>
      </c>
      <c r="W531" s="7">
        <v>1629.0</v>
      </c>
      <c r="X531" s="7">
        <v>219.92</v>
      </c>
      <c r="Y531" s="7">
        <v>229312.0</v>
      </c>
      <c r="Z531" s="7">
        <v>0.96</v>
      </c>
      <c r="AA531" s="7">
        <v>328.0</v>
      </c>
      <c r="AB531" s="7"/>
      <c r="AC531" s="7"/>
      <c r="AD531" s="7"/>
    </row>
    <row r="532" ht="15.75" customHeight="1">
      <c r="A532" s="6">
        <v>45092.0</v>
      </c>
      <c r="B532" s="7">
        <f t="shared" si="1"/>
        <v>15</v>
      </c>
      <c r="C532" s="7">
        <f t="shared" si="2"/>
        <v>6</v>
      </c>
      <c r="D532" s="7">
        <v>11730.24</v>
      </c>
      <c r="E532" s="7">
        <v>17604.0</v>
      </c>
      <c r="F532" s="7">
        <v>20017.0</v>
      </c>
      <c r="G532" s="7">
        <v>37621.0</v>
      </c>
      <c r="H532" s="7">
        <v>1601.89</v>
      </c>
      <c r="I532" s="7">
        <v>6836.0</v>
      </c>
      <c r="J532" s="7">
        <v>0.234</v>
      </c>
      <c r="K532" s="7">
        <v>5360.0</v>
      </c>
      <c r="L532" s="7">
        <v>3611.91</v>
      </c>
      <c r="M532" s="7">
        <v>4254.0</v>
      </c>
      <c r="N532" s="7">
        <v>0.849</v>
      </c>
      <c r="O532" s="8">
        <v>3906.0</v>
      </c>
      <c r="P532" s="7">
        <v>6011.36</v>
      </c>
      <c r="Q532" s="7">
        <v>3431262.0</v>
      </c>
      <c r="R532" s="7">
        <v>1.75</v>
      </c>
      <c r="S532" s="7">
        <v>9007.0</v>
      </c>
      <c r="T532" s="7">
        <v>284.53</v>
      </c>
      <c r="U532" s="7">
        <v>2228.0</v>
      </c>
      <c r="V532" s="7">
        <v>0.13</v>
      </c>
      <c r="W532" s="7">
        <v>1518.0</v>
      </c>
      <c r="X532" s="7">
        <v>220.55</v>
      </c>
      <c r="Y532" s="7">
        <v>149940.0</v>
      </c>
      <c r="Z532" s="7">
        <v>1.47</v>
      </c>
      <c r="AA532" s="7">
        <v>327.0</v>
      </c>
      <c r="AB532" s="7"/>
      <c r="AC532" s="7"/>
      <c r="AD532" s="7"/>
    </row>
    <row r="533" ht="15.75" customHeight="1">
      <c r="A533" s="6">
        <v>45093.0</v>
      </c>
      <c r="B533" s="7">
        <f t="shared" si="1"/>
        <v>16</v>
      </c>
      <c r="C533" s="7">
        <f t="shared" si="2"/>
        <v>6</v>
      </c>
      <c r="D533" s="7">
        <v>10841.41</v>
      </c>
      <c r="E533" s="7">
        <v>22544.0</v>
      </c>
      <c r="F533" s="7">
        <v>13819.0</v>
      </c>
      <c r="G533" s="7">
        <v>36363.0</v>
      </c>
      <c r="H533" s="7">
        <v>1482.57</v>
      </c>
      <c r="I533" s="7">
        <v>7031.0</v>
      </c>
      <c r="J533" s="7">
        <v>0.211</v>
      </c>
      <c r="K533" s="7">
        <v>4347.0</v>
      </c>
      <c r="L533" s="7">
        <v>3139.35</v>
      </c>
      <c r="M533" s="7">
        <v>3725.0</v>
      </c>
      <c r="N533" s="7">
        <v>0.843</v>
      </c>
      <c r="O533" s="8">
        <v>2542.0</v>
      </c>
      <c r="P533" s="7">
        <v>5716.63</v>
      </c>
      <c r="Q533" s="7">
        <v>3130875.0</v>
      </c>
      <c r="R533" s="7">
        <v>1.83</v>
      </c>
      <c r="S533" s="7">
        <v>6134.0</v>
      </c>
      <c r="T533" s="7">
        <v>283.37</v>
      </c>
      <c r="U533" s="7">
        <v>2571.0</v>
      </c>
      <c r="V533" s="7">
        <v>0.11</v>
      </c>
      <c r="W533" s="7">
        <v>978.0</v>
      </c>
      <c r="X533" s="7">
        <v>219.49</v>
      </c>
      <c r="Y533" s="7">
        <v>152949.0</v>
      </c>
      <c r="Z533" s="7">
        <v>1.44</v>
      </c>
      <c r="AA533" s="7">
        <v>236.0</v>
      </c>
      <c r="AB533" s="7"/>
      <c r="AC533" s="7"/>
      <c r="AD533" s="7"/>
    </row>
    <row r="534" ht="15.75" customHeight="1">
      <c r="A534" s="6">
        <v>45094.0</v>
      </c>
      <c r="B534" s="7">
        <f t="shared" si="1"/>
        <v>17</v>
      </c>
      <c r="C534" s="7">
        <f t="shared" si="2"/>
        <v>6</v>
      </c>
      <c r="D534" s="7">
        <v>10878.79</v>
      </c>
      <c r="E534" s="7">
        <v>14988.0</v>
      </c>
      <c r="F534" s="7">
        <v>19264.0</v>
      </c>
      <c r="G534" s="7">
        <v>34252.0</v>
      </c>
      <c r="H534" s="7">
        <v>1373.0</v>
      </c>
      <c r="I534" s="7">
        <v>6638.0</v>
      </c>
      <c r="J534" s="7">
        <v>0.207</v>
      </c>
      <c r="K534" s="7">
        <v>4804.0</v>
      </c>
      <c r="L534" s="7">
        <v>3287.23</v>
      </c>
      <c r="M534" s="7">
        <v>4160.0</v>
      </c>
      <c r="N534" s="7">
        <v>0.79</v>
      </c>
      <c r="O534" s="8">
        <v>3654.0</v>
      </c>
      <c r="P534" s="7">
        <v>5728.54</v>
      </c>
      <c r="Q534" s="7">
        <v>3321188.0</v>
      </c>
      <c r="R534" s="7">
        <v>1.72</v>
      </c>
      <c r="S534" s="7">
        <v>9719.0</v>
      </c>
      <c r="T534" s="7">
        <v>272.35</v>
      </c>
      <c r="U534" s="7">
        <v>3151.0</v>
      </c>
      <c r="V534" s="7">
        <v>0.09</v>
      </c>
      <c r="W534" s="7">
        <v>1208.0</v>
      </c>
      <c r="X534" s="7">
        <v>217.67</v>
      </c>
      <c r="Y534" s="7">
        <v>135176.0</v>
      </c>
      <c r="Z534" s="7">
        <v>1.61</v>
      </c>
      <c r="AA534" s="7">
        <v>341.0</v>
      </c>
      <c r="AB534" s="7"/>
      <c r="AC534" s="7"/>
      <c r="AD534" s="7"/>
    </row>
    <row r="535" ht="15.75" customHeight="1">
      <c r="A535" s="6">
        <v>45095.0</v>
      </c>
      <c r="B535" s="7">
        <f t="shared" si="1"/>
        <v>18</v>
      </c>
      <c r="C535" s="7">
        <f t="shared" si="2"/>
        <v>6</v>
      </c>
      <c r="D535" s="7">
        <v>12543.09</v>
      </c>
      <c r="E535" s="7">
        <v>16769.0</v>
      </c>
      <c r="F535" s="7">
        <v>23016.0</v>
      </c>
      <c r="G535" s="7">
        <v>39785.0</v>
      </c>
      <c r="H535" s="7">
        <v>1653.39</v>
      </c>
      <c r="I535" s="7">
        <v>7797.0</v>
      </c>
      <c r="J535" s="7">
        <v>0.212</v>
      </c>
      <c r="K535" s="7">
        <v>5539.0</v>
      </c>
      <c r="L535" s="7">
        <v>4292.82</v>
      </c>
      <c r="M535" s="7">
        <v>5876.0</v>
      </c>
      <c r="N535" s="7">
        <v>0.731</v>
      </c>
      <c r="O535" s="8">
        <v>4792.0</v>
      </c>
      <c r="P535" s="7">
        <v>6081.92</v>
      </c>
      <c r="Q535" s="7">
        <v>3680622.0</v>
      </c>
      <c r="R535" s="7">
        <v>1.65</v>
      </c>
      <c r="S535" s="7">
        <v>10491.0</v>
      </c>
      <c r="T535" s="7">
        <v>294.06</v>
      </c>
      <c r="U535" s="7">
        <v>3592.0</v>
      </c>
      <c r="V535" s="7">
        <v>0.08</v>
      </c>
      <c r="W535" s="7">
        <v>1364.0</v>
      </c>
      <c r="X535" s="7">
        <v>220.9</v>
      </c>
      <c r="Y535" s="7">
        <v>142369.0</v>
      </c>
      <c r="Z535" s="7">
        <v>1.55</v>
      </c>
      <c r="AA535" s="7">
        <v>370.0</v>
      </c>
      <c r="AB535" s="7"/>
      <c r="AC535" s="7"/>
      <c r="AD535" s="7"/>
    </row>
    <row r="536" ht="15.75" customHeight="1">
      <c r="A536" s="6">
        <v>45096.0</v>
      </c>
      <c r="B536" s="7">
        <f t="shared" si="1"/>
        <v>19</v>
      </c>
      <c r="C536" s="7">
        <f t="shared" si="2"/>
        <v>6</v>
      </c>
      <c r="D536" s="7">
        <v>12926.06</v>
      </c>
      <c r="E536" s="7">
        <v>25206.0</v>
      </c>
      <c r="F536" s="7">
        <v>24919.0</v>
      </c>
      <c r="G536" s="7">
        <v>50125.0</v>
      </c>
      <c r="H536" s="7">
        <v>1802.95</v>
      </c>
      <c r="I536" s="7">
        <v>8841.0</v>
      </c>
      <c r="J536" s="7">
        <v>0.204</v>
      </c>
      <c r="K536" s="7">
        <v>6954.0</v>
      </c>
      <c r="L536" s="7">
        <v>4330.01</v>
      </c>
      <c r="M536" s="7">
        <v>5444.0</v>
      </c>
      <c r="N536" s="7">
        <v>0.795</v>
      </c>
      <c r="O536" s="8">
        <v>4913.0</v>
      </c>
      <c r="P536" s="7">
        <v>6181.0</v>
      </c>
      <c r="Q536" s="7">
        <v>3772266.0</v>
      </c>
      <c r="R536" s="7">
        <v>1.64</v>
      </c>
      <c r="S536" s="7">
        <v>11381.0</v>
      </c>
      <c r="T536" s="7">
        <v>391.14</v>
      </c>
      <c r="U536" s="7">
        <v>3921.0</v>
      </c>
      <c r="V536" s="7">
        <v>0.1</v>
      </c>
      <c r="W536" s="7">
        <v>1509.0</v>
      </c>
      <c r="X536" s="7">
        <v>220.96</v>
      </c>
      <c r="Y536" s="7">
        <v>143824.0</v>
      </c>
      <c r="Z536" s="7">
        <v>1.54</v>
      </c>
      <c r="AA536" s="7">
        <v>351.0</v>
      </c>
      <c r="AB536" s="7"/>
      <c r="AC536" s="7"/>
      <c r="AD536" s="7"/>
    </row>
    <row r="537" ht="15.75" customHeight="1">
      <c r="A537" s="6">
        <v>45097.0</v>
      </c>
      <c r="B537" s="7">
        <f t="shared" si="1"/>
        <v>20</v>
      </c>
      <c r="C537" s="7">
        <f t="shared" si="2"/>
        <v>6</v>
      </c>
      <c r="D537" s="7">
        <v>12390.43</v>
      </c>
      <c r="E537" s="7">
        <v>25200.0</v>
      </c>
      <c r="F537" s="7">
        <v>24215.0</v>
      </c>
      <c r="G537" s="7">
        <v>49415.0</v>
      </c>
      <c r="H537" s="7">
        <v>1888.23</v>
      </c>
      <c r="I537" s="7">
        <v>9412.0</v>
      </c>
      <c r="J537" s="7">
        <v>0.201</v>
      </c>
      <c r="K537" s="7">
        <v>7371.0</v>
      </c>
      <c r="L537" s="7">
        <v>4080.44</v>
      </c>
      <c r="M537" s="7">
        <v>5243.0</v>
      </c>
      <c r="N537" s="7">
        <v>0.778</v>
      </c>
      <c r="O537" s="8">
        <v>4607.0</v>
      </c>
      <c r="P537" s="7">
        <v>5889.53</v>
      </c>
      <c r="Q537" s="7">
        <v>3412725.0</v>
      </c>
      <c r="R537" s="7">
        <v>1.73</v>
      </c>
      <c r="S537" s="7">
        <v>10336.0</v>
      </c>
      <c r="T537" s="7">
        <v>311.87</v>
      </c>
      <c r="U537" s="7">
        <v>2996.0</v>
      </c>
      <c r="V537" s="7">
        <v>0.1</v>
      </c>
      <c r="W537" s="7">
        <v>1455.0</v>
      </c>
      <c r="X537" s="7">
        <v>220.36</v>
      </c>
      <c r="Y537" s="7">
        <v>124939.0</v>
      </c>
      <c r="Z537" s="7">
        <v>1.76</v>
      </c>
      <c r="AA537" s="7">
        <v>294.0</v>
      </c>
      <c r="AB537" s="7"/>
      <c r="AC537" s="7"/>
      <c r="AD537" s="7"/>
    </row>
    <row r="538" ht="15.75" customHeight="1">
      <c r="A538" s="6">
        <v>45098.0</v>
      </c>
      <c r="B538" s="7">
        <f t="shared" si="1"/>
        <v>21</v>
      </c>
      <c r="C538" s="7">
        <f t="shared" si="2"/>
        <v>6</v>
      </c>
      <c r="D538" s="7">
        <v>11717.24</v>
      </c>
      <c r="E538" s="7">
        <v>20967.0</v>
      </c>
      <c r="F538" s="7">
        <v>22666.0</v>
      </c>
      <c r="G538" s="7">
        <v>43633.0</v>
      </c>
      <c r="H538" s="7">
        <v>1534.79</v>
      </c>
      <c r="I538" s="7">
        <v>8201.0</v>
      </c>
      <c r="J538" s="7">
        <v>0.187</v>
      </c>
      <c r="K538" s="7">
        <v>6595.0</v>
      </c>
      <c r="L538" s="7">
        <v>3951.66</v>
      </c>
      <c r="M538" s="7">
        <v>5000.0</v>
      </c>
      <c r="N538" s="7">
        <v>0.79</v>
      </c>
      <c r="O538" s="8">
        <v>4561.0</v>
      </c>
      <c r="P538" s="7">
        <v>5711.01</v>
      </c>
      <c r="Q538" s="7">
        <v>3194890.0</v>
      </c>
      <c r="R538" s="7">
        <v>1.79</v>
      </c>
      <c r="S538" s="7">
        <v>10293.0</v>
      </c>
      <c r="T538" s="7">
        <v>299.56</v>
      </c>
      <c r="U538" s="7">
        <v>3198.0</v>
      </c>
      <c r="V538" s="7">
        <v>0.09</v>
      </c>
      <c r="W538" s="7">
        <v>1465.0</v>
      </c>
      <c r="X538" s="7">
        <v>220.22</v>
      </c>
      <c r="Y538" s="7">
        <v>108092.0</v>
      </c>
      <c r="Z538" s="7">
        <v>2.04</v>
      </c>
      <c r="AA538" s="7">
        <v>259.0</v>
      </c>
      <c r="AB538" s="7"/>
      <c r="AC538" s="7"/>
      <c r="AD538" s="7"/>
    </row>
    <row r="539" ht="15.75" customHeight="1">
      <c r="A539" s="6">
        <v>45099.0</v>
      </c>
      <c r="B539" s="7">
        <f t="shared" si="1"/>
        <v>22</v>
      </c>
      <c r="C539" s="7">
        <f t="shared" si="2"/>
        <v>6</v>
      </c>
      <c r="D539" s="7">
        <v>11775.37</v>
      </c>
      <c r="E539" s="7">
        <v>21280.0</v>
      </c>
      <c r="F539" s="7">
        <v>22127.0</v>
      </c>
      <c r="G539" s="7">
        <v>43407.0</v>
      </c>
      <c r="H539" s="7">
        <v>1551.79</v>
      </c>
      <c r="I539" s="7">
        <v>7683.0</v>
      </c>
      <c r="J539" s="7">
        <v>0.202</v>
      </c>
      <c r="K539" s="7">
        <v>6139.0</v>
      </c>
      <c r="L539" s="7">
        <v>4038.34</v>
      </c>
      <c r="M539" s="7">
        <v>4920.0</v>
      </c>
      <c r="N539" s="7">
        <v>0.821</v>
      </c>
      <c r="O539" s="8">
        <v>4267.0</v>
      </c>
      <c r="P539" s="7">
        <v>5643.59</v>
      </c>
      <c r="Q539" s="7">
        <v>3158578.0</v>
      </c>
      <c r="R539" s="7">
        <v>1.79</v>
      </c>
      <c r="S539" s="7">
        <v>10206.0</v>
      </c>
      <c r="T539" s="7">
        <v>321.65</v>
      </c>
      <c r="U539" s="7">
        <v>3186.0</v>
      </c>
      <c r="V539" s="7">
        <v>0.1</v>
      </c>
      <c r="W539" s="7">
        <v>1565.0</v>
      </c>
      <c r="X539" s="7">
        <v>220.0</v>
      </c>
      <c r="Y539" s="7">
        <v>133698.0</v>
      </c>
      <c r="Z539" s="7">
        <v>1.65</v>
      </c>
      <c r="AA539" s="7">
        <v>286.0</v>
      </c>
      <c r="AB539" s="7"/>
      <c r="AC539" s="7"/>
      <c r="AD539" s="7"/>
    </row>
    <row r="540" ht="15.75" customHeight="1">
      <c r="A540" s="6">
        <v>45100.0</v>
      </c>
      <c r="B540" s="7">
        <f t="shared" si="1"/>
        <v>23</v>
      </c>
      <c r="C540" s="7">
        <f t="shared" si="2"/>
        <v>6</v>
      </c>
      <c r="D540" s="7">
        <v>10749.31</v>
      </c>
      <c r="E540" s="7">
        <v>19250.0</v>
      </c>
      <c r="F540" s="7">
        <v>19726.0</v>
      </c>
      <c r="G540" s="7">
        <v>38976.0</v>
      </c>
      <c r="H540" s="7">
        <v>1463.97</v>
      </c>
      <c r="I540" s="7">
        <v>6869.0</v>
      </c>
      <c r="J540" s="7">
        <v>0.213</v>
      </c>
      <c r="K540" s="7">
        <v>5442.0</v>
      </c>
      <c r="L540" s="7">
        <v>3700.22</v>
      </c>
      <c r="M540" s="7">
        <v>4549.0</v>
      </c>
      <c r="N540" s="7">
        <v>0.813</v>
      </c>
      <c r="O540" s="8">
        <v>3974.0</v>
      </c>
      <c r="P540" s="7">
        <v>5123.34</v>
      </c>
      <c r="Q540" s="7">
        <v>2750055.0</v>
      </c>
      <c r="R540" s="7">
        <v>1.86</v>
      </c>
      <c r="S540" s="7">
        <v>8889.0</v>
      </c>
      <c r="T540" s="7">
        <v>242.15</v>
      </c>
      <c r="U540" s="7">
        <v>2867.0</v>
      </c>
      <c r="V540" s="7">
        <v>0.08</v>
      </c>
      <c r="W540" s="7">
        <v>1530.0</v>
      </c>
      <c r="X540" s="7">
        <v>219.63</v>
      </c>
      <c r="Y540" s="7">
        <v>166568.0</v>
      </c>
      <c r="Z540" s="7">
        <v>1.32</v>
      </c>
      <c r="AA540" s="7">
        <v>246.0</v>
      </c>
      <c r="AB540" s="7"/>
      <c r="AC540" s="7"/>
      <c r="AD540" s="7"/>
    </row>
    <row r="541" ht="15.75" customHeight="1">
      <c r="A541" s="6">
        <v>45101.0</v>
      </c>
      <c r="B541" s="7">
        <f t="shared" si="1"/>
        <v>24</v>
      </c>
      <c r="C541" s="7">
        <f t="shared" si="2"/>
        <v>6</v>
      </c>
      <c r="D541" s="7">
        <v>10452.6</v>
      </c>
      <c r="E541" s="7">
        <v>16037.0</v>
      </c>
      <c r="F541" s="7">
        <v>19499.0</v>
      </c>
      <c r="G541" s="7">
        <v>35536.0</v>
      </c>
      <c r="H541" s="7">
        <v>1389.45</v>
      </c>
      <c r="I541" s="7">
        <v>6538.0</v>
      </c>
      <c r="J541" s="7">
        <v>0.213</v>
      </c>
      <c r="K541" s="7">
        <v>4943.0</v>
      </c>
      <c r="L541" s="7">
        <v>3479.97</v>
      </c>
      <c r="M541" s="7">
        <v>4700.0</v>
      </c>
      <c r="N541" s="7">
        <v>0.74</v>
      </c>
      <c r="O541" s="8">
        <v>3908.0</v>
      </c>
      <c r="P541" s="7">
        <v>5132.7</v>
      </c>
      <c r="Q541" s="7">
        <v>2721298.0</v>
      </c>
      <c r="R541" s="7">
        <v>1.89</v>
      </c>
      <c r="S541" s="7">
        <v>8674.0</v>
      </c>
      <c r="T541" s="7">
        <v>232.55</v>
      </c>
      <c r="U541" s="7">
        <v>2953.0</v>
      </c>
      <c r="V541" s="7">
        <v>0.08</v>
      </c>
      <c r="W541" s="7">
        <v>1440.0</v>
      </c>
      <c r="X541" s="7">
        <v>217.93</v>
      </c>
      <c r="Y541" s="7">
        <v>134624.0</v>
      </c>
      <c r="Z541" s="7">
        <v>1.62</v>
      </c>
      <c r="AA541" s="7">
        <v>281.0</v>
      </c>
      <c r="AB541" s="7"/>
      <c r="AC541" s="7"/>
      <c r="AD541" s="7"/>
    </row>
    <row r="542" ht="15.75" customHeight="1">
      <c r="A542" s="6">
        <v>45102.0</v>
      </c>
      <c r="B542" s="7">
        <f t="shared" si="1"/>
        <v>25</v>
      </c>
      <c r="C542" s="7">
        <f t="shared" si="2"/>
        <v>6</v>
      </c>
      <c r="D542" s="7">
        <v>12026.93</v>
      </c>
      <c r="E542" s="7">
        <v>17794.0</v>
      </c>
      <c r="F542" s="7">
        <v>22035.0</v>
      </c>
      <c r="G542" s="7">
        <v>39829.0</v>
      </c>
      <c r="H542" s="7">
        <v>1606.96</v>
      </c>
      <c r="I542" s="7">
        <v>7923.0</v>
      </c>
      <c r="J542" s="7">
        <v>0.203</v>
      </c>
      <c r="K542" s="7">
        <v>5602.0</v>
      </c>
      <c r="L542" s="7">
        <v>4262.29</v>
      </c>
      <c r="M542" s="7">
        <v>6206.0</v>
      </c>
      <c r="N542" s="7">
        <v>0.687</v>
      </c>
      <c r="O542" s="8">
        <v>5288.0</v>
      </c>
      <c r="P542" s="7">
        <v>5681.17</v>
      </c>
      <c r="Q542" s="7">
        <v>3038014.0</v>
      </c>
      <c r="R542" s="7">
        <v>1.87</v>
      </c>
      <c r="S542" s="7">
        <v>9963.0</v>
      </c>
      <c r="T542" s="7">
        <v>255.68</v>
      </c>
      <c r="U542" s="7">
        <v>3108.0</v>
      </c>
      <c r="V542" s="7">
        <v>0.08</v>
      </c>
      <c r="W542" s="7">
        <v>1376.0</v>
      </c>
      <c r="X542" s="7">
        <v>220.83</v>
      </c>
      <c r="Y542" s="7">
        <v>138699.0</v>
      </c>
      <c r="Z542" s="7">
        <v>1.59</v>
      </c>
      <c r="AA542" s="7">
        <v>329.0</v>
      </c>
      <c r="AB542" s="7"/>
      <c r="AC542" s="7"/>
      <c r="AD542" s="7"/>
    </row>
    <row r="543" ht="15.75" customHeight="1">
      <c r="A543" s="6">
        <v>45103.0</v>
      </c>
      <c r="B543" s="7">
        <f t="shared" si="1"/>
        <v>26</v>
      </c>
      <c r="C543" s="7">
        <f t="shared" si="2"/>
        <v>6</v>
      </c>
      <c r="D543" s="7">
        <v>12004.11</v>
      </c>
      <c r="E543" s="7">
        <v>24115.0</v>
      </c>
      <c r="F543" s="7">
        <v>23151.0</v>
      </c>
      <c r="G543" s="7">
        <v>47266.0</v>
      </c>
      <c r="H543" s="7">
        <v>1782.34</v>
      </c>
      <c r="I543" s="7">
        <v>8764.0</v>
      </c>
      <c r="J543" s="7">
        <v>0.203</v>
      </c>
      <c r="K543" s="7">
        <v>6696.0</v>
      </c>
      <c r="L543" s="7">
        <v>4225.44</v>
      </c>
      <c r="M543" s="7">
        <v>5410.0</v>
      </c>
      <c r="N543" s="7">
        <v>0.781</v>
      </c>
      <c r="O543" s="8">
        <v>4973.0</v>
      </c>
      <c r="P543" s="7">
        <v>5429.71</v>
      </c>
      <c r="Q543" s="7">
        <v>3057447.0</v>
      </c>
      <c r="R543" s="7">
        <v>1.78</v>
      </c>
      <c r="S543" s="7">
        <v>9685.0</v>
      </c>
      <c r="T543" s="7">
        <v>345.33</v>
      </c>
      <c r="U543" s="7">
        <v>3864.0</v>
      </c>
      <c r="V543" s="7">
        <v>0.09</v>
      </c>
      <c r="W543" s="7">
        <v>1524.0</v>
      </c>
      <c r="X543" s="7">
        <v>221.29</v>
      </c>
      <c r="Y543" s="7">
        <v>168721.0</v>
      </c>
      <c r="Z543" s="7">
        <v>1.31</v>
      </c>
      <c r="AA543" s="7">
        <v>339.0</v>
      </c>
      <c r="AB543" s="7"/>
      <c r="AC543" s="7"/>
      <c r="AD543" s="7"/>
    </row>
    <row r="544" ht="15.75" customHeight="1">
      <c r="A544" s="6">
        <v>45104.0</v>
      </c>
      <c r="B544" s="7">
        <f t="shared" si="1"/>
        <v>27</v>
      </c>
      <c r="C544" s="7">
        <f t="shared" si="2"/>
        <v>6</v>
      </c>
      <c r="D544" s="7">
        <v>11179.58</v>
      </c>
      <c r="E544" s="7">
        <v>20983.0</v>
      </c>
      <c r="F544" s="7">
        <v>21148.0</v>
      </c>
      <c r="G544" s="7">
        <v>42131.0</v>
      </c>
      <c r="H544" s="7">
        <v>1739.64</v>
      </c>
      <c r="I544" s="7">
        <v>7964.0</v>
      </c>
      <c r="J544" s="7">
        <v>0.218</v>
      </c>
      <c r="K544" s="7">
        <v>6247.0</v>
      </c>
      <c r="L544" s="7">
        <v>3708.7</v>
      </c>
      <c r="M544" s="7">
        <v>4673.0</v>
      </c>
      <c r="N544" s="7">
        <v>0.794</v>
      </c>
      <c r="O544" s="8">
        <v>4262.0</v>
      </c>
      <c r="P544" s="7">
        <v>5165.92</v>
      </c>
      <c r="Q544" s="7">
        <v>2856781.0</v>
      </c>
      <c r="R544" s="7">
        <v>1.81</v>
      </c>
      <c r="S544" s="7">
        <v>9288.0</v>
      </c>
      <c r="T544" s="7">
        <v>344.64</v>
      </c>
      <c r="U544" s="7">
        <v>3875.0</v>
      </c>
      <c r="V544" s="7">
        <v>0.09</v>
      </c>
      <c r="W544" s="7">
        <v>1473.0</v>
      </c>
      <c r="X544" s="7">
        <v>220.68</v>
      </c>
      <c r="Y544" s="7">
        <v>157537.0</v>
      </c>
      <c r="Z544" s="7">
        <v>1.4</v>
      </c>
      <c r="AA544" s="7">
        <v>286.0</v>
      </c>
      <c r="AB544" s="7"/>
      <c r="AC544" s="7"/>
      <c r="AD544" s="7"/>
    </row>
    <row r="545" ht="15.75" customHeight="1">
      <c r="A545" s="6">
        <v>45105.0</v>
      </c>
      <c r="B545" s="7">
        <f t="shared" si="1"/>
        <v>28</v>
      </c>
      <c r="C545" s="7">
        <f t="shared" si="2"/>
        <v>6</v>
      </c>
      <c r="D545" s="7">
        <v>10055.66</v>
      </c>
      <c r="E545" s="7">
        <v>19916.0</v>
      </c>
      <c r="F545" s="7">
        <v>19535.0</v>
      </c>
      <c r="G545" s="7">
        <v>39451.0</v>
      </c>
      <c r="H545" s="7">
        <v>1676.22</v>
      </c>
      <c r="I545" s="7">
        <v>7615.0</v>
      </c>
      <c r="J545" s="7">
        <v>0.22</v>
      </c>
      <c r="K545" s="7">
        <v>6171.0</v>
      </c>
      <c r="L545" s="7">
        <v>2950.92</v>
      </c>
      <c r="M545" s="7">
        <v>4036.0</v>
      </c>
      <c r="N545" s="7">
        <v>0.731</v>
      </c>
      <c r="O545" s="8">
        <v>3620.0</v>
      </c>
      <c r="P545" s="7">
        <v>4874.79</v>
      </c>
      <c r="Q545" s="7">
        <v>2655492.0</v>
      </c>
      <c r="R545" s="7">
        <v>1.84</v>
      </c>
      <c r="S545" s="7">
        <v>8630.0</v>
      </c>
      <c r="T545" s="7">
        <v>333.54</v>
      </c>
      <c r="U545" s="7">
        <v>3808.0</v>
      </c>
      <c r="V545" s="7">
        <v>0.09</v>
      </c>
      <c r="W545" s="7">
        <v>1572.0</v>
      </c>
      <c r="X545" s="7">
        <v>220.19</v>
      </c>
      <c r="Y545" s="7">
        <v>133595.0</v>
      </c>
      <c r="Z545" s="7">
        <v>1.65</v>
      </c>
      <c r="AA545" s="7">
        <v>235.0</v>
      </c>
      <c r="AB545" s="7"/>
      <c r="AC545" s="7"/>
      <c r="AD545" s="7"/>
    </row>
    <row r="546" ht="15.75" customHeight="1">
      <c r="A546" s="6">
        <v>45106.0</v>
      </c>
      <c r="B546" s="7">
        <f t="shared" si="1"/>
        <v>29</v>
      </c>
      <c r="C546" s="7">
        <f t="shared" si="2"/>
        <v>6</v>
      </c>
      <c r="D546" s="7">
        <v>9593.35</v>
      </c>
      <c r="E546" s="7">
        <v>18615.0</v>
      </c>
      <c r="F546" s="7">
        <v>19495.0</v>
      </c>
      <c r="G546" s="7">
        <v>38110.0</v>
      </c>
      <c r="H546" s="7">
        <v>1585.68</v>
      </c>
      <c r="I546" s="7">
        <v>7414.0</v>
      </c>
      <c r="J546" s="7">
        <v>0.214</v>
      </c>
      <c r="K546" s="7">
        <v>5856.0</v>
      </c>
      <c r="L546" s="7">
        <v>2883.96</v>
      </c>
      <c r="M546" s="7">
        <v>3911.0</v>
      </c>
      <c r="N546" s="7">
        <v>0.737</v>
      </c>
      <c r="O546" s="8">
        <v>3832.0</v>
      </c>
      <c r="P546" s="7">
        <v>4660.48</v>
      </c>
      <c r="Q546" s="7">
        <v>2465636.0</v>
      </c>
      <c r="R546" s="7">
        <v>1.89</v>
      </c>
      <c r="S546" s="7">
        <v>8224.0</v>
      </c>
      <c r="T546" s="7">
        <v>242.96</v>
      </c>
      <c r="U546" s="7">
        <v>2990.0</v>
      </c>
      <c r="V546" s="7">
        <v>0.08</v>
      </c>
      <c r="W546" s="7">
        <v>1369.0</v>
      </c>
      <c r="X546" s="7">
        <v>220.27</v>
      </c>
      <c r="Y546" s="7">
        <v>142765.0</v>
      </c>
      <c r="Z546" s="7">
        <v>1.54</v>
      </c>
      <c r="AA546" s="7">
        <v>248.0</v>
      </c>
      <c r="AB546" s="7"/>
      <c r="AC546" s="7"/>
      <c r="AD546" s="7"/>
    </row>
    <row r="547" ht="15.75" customHeight="1">
      <c r="A547" s="6">
        <v>45107.0</v>
      </c>
      <c r="B547" s="7">
        <f t="shared" si="1"/>
        <v>30</v>
      </c>
      <c r="C547" s="7">
        <f t="shared" si="2"/>
        <v>6</v>
      </c>
      <c r="D547" s="7">
        <v>9273.05</v>
      </c>
      <c r="E547" s="7">
        <v>18168.0</v>
      </c>
      <c r="F547" s="7">
        <v>18690.0</v>
      </c>
      <c r="G547" s="7">
        <v>36858.0</v>
      </c>
      <c r="H547" s="7">
        <v>1436.02</v>
      </c>
      <c r="I547" s="7">
        <v>6976.0</v>
      </c>
      <c r="J547" s="7">
        <v>0.206</v>
      </c>
      <c r="K547" s="7">
        <v>5617.0</v>
      </c>
      <c r="L547" s="7">
        <v>2666.9</v>
      </c>
      <c r="M547" s="7">
        <v>3699.0</v>
      </c>
      <c r="N547" s="7">
        <v>0.721</v>
      </c>
      <c r="O547" s="8">
        <v>3410.0</v>
      </c>
      <c r="P547" s="7">
        <v>4690.61</v>
      </c>
      <c r="Q547" s="7">
        <v>2498439.0</v>
      </c>
      <c r="R547" s="7">
        <v>1.88</v>
      </c>
      <c r="S547" s="7">
        <v>7964.0</v>
      </c>
      <c r="T547" s="7">
        <v>260.07</v>
      </c>
      <c r="U547" s="7">
        <v>3095.0</v>
      </c>
      <c r="V547" s="7">
        <v>0.08</v>
      </c>
      <c r="W547" s="7">
        <v>1398.0</v>
      </c>
      <c r="X547" s="7">
        <v>219.45</v>
      </c>
      <c r="Y547" s="7">
        <v>128268.0</v>
      </c>
      <c r="Z547" s="7">
        <v>1.71</v>
      </c>
      <c r="AA547" s="7">
        <v>262.0</v>
      </c>
      <c r="AB547" s="7"/>
      <c r="AC547" s="7"/>
      <c r="AD547" s="7"/>
    </row>
    <row r="548" ht="15.75" customHeight="1">
      <c r="A548" s="6">
        <v>45108.0</v>
      </c>
      <c r="B548" s="7">
        <f t="shared" si="1"/>
        <v>1</v>
      </c>
      <c r="C548" s="7">
        <f t="shared" si="2"/>
        <v>7</v>
      </c>
      <c r="D548" s="7">
        <v>9529.6</v>
      </c>
      <c r="E548" s="7">
        <v>17327.0</v>
      </c>
      <c r="F548" s="7">
        <v>20605.0</v>
      </c>
      <c r="G548" s="7">
        <v>37932.0</v>
      </c>
      <c r="H548" s="7">
        <v>1320.94</v>
      </c>
      <c r="I548" s="7">
        <v>7231.0</v>
      </c>
      <c r="J548" s="7">
        <v>0.183</v>
      </c>
      <c r="K548" s="7">
        <v>5435.0</v>
      </c>
      <c r="L548" s="7">
        <v>2854.62</v>
      </c>
      <c r="M548" s="7">
        <v>4163.0</v>
      </c>
      <c r="N548" s="7">
        <v>0.686</v>
      </c>
      <c r="O548" s="8">
        <v>3625.0</v>
      </c>
      <c r="P548" s="7">
        <v>4961.48</v>
      </c>
      <c r="Q548" s="7">
        <v>3049272.0</v>
      </c>
      <c r="R548" s="7">
        <v>1.63</v>
      </c>
      <c r="S548" s="7">
        <v>9733.0</v>
      </c>
      <c r="T548" s="7">
        <v>175.27</v>
      </c>
      <c r="U548" s="7">
        <v>2499.0</v>
      </c>
      <c r="V548" s="7">
        <v>0.07</v>
      </c>
      <c r="W548" s="7">
        <v>1262.0</v>
      </c>
      <c r="X548" s="7">
        <v>217.29</v>
      </c>
      <c r="Y548" s="7">
        <v>140013.0</v>
      </c>
      <c r="Z548" s="7">
        <v>1.55</v>
      </c>
      <c r="AA548" s="7">
        <v>293.0</v>
      </c>
      <c r="AB548" s="7"/>
      <c r="AC548" s="7"/>
      <c r="AD548" s="7"/>
    </row>
    <row r="549" ht="15.75" customHeight="1">
      <c r="A549" s="6">
        <v>45109.0</v>
      </c>
      <c r="B549" s="7">
        <f t="shared" si="1"/>
        <v>2</v>
      </c>
      <c r="C549" s="7">
        <f t="shared" si="2"/>
        <v>7</v>
      </c>
      <c r="D549" s="7">
        <v>11054.69</v>
      </c>
      <c r="E549" s="7">
        <v>18376.0</v>
      </c>
      <c r="F549" s="7">
        <v>23324.0</v>
      </c>
      <c r="G549" s="7">
        <v>41700.0</v>
      </c>
      <c r="H549" s="7">
        <v>1684.23</v>
      </c>
      <c r="I549" s="7">
        <v>8051.0</v>
      </c>
      <c r="J549" s="7">
        <v>0.209</v>
      </c>
      <c r="K549" s="7">
        <v>6022.0</v>
      </c>
      <c r="L549" s="7">
        <v>3743.04</v>
      </c>
      <c r="M549" s="7">
        <v>5517.0</v>
      </c>
      <c r="N549" s="7">
        <v>0.678</v>
      </c>
      <c r="O549" s="8">
        <v>4636.0</v>
      </c>
      <c r="P549" s="7">
        <v>5208.57</v>
      </c>
      <c r="Q549" s="7">
        <v>3447804.0</v>
      </c>
      <c r="R549" s="7">
        <v>1.51</v>
      </c>
      <c r="S549" s="7">
        <v>11432.0</v>
      </c>
      <c r="T549" s="7">
        <v>197.88</v>
      </c>
      <c r="U549" s="7">
        <v>2927.0</v>
      </c>
      <c r="V549" s="7">
        <v>0.07</v>
      </c>
      <c r="W549" s="7">
        <v>1168.0</v>
      </c>
      <c r="X549" s="7">
        <v>220.97</v>
      </c>
      <c r="Y549" s="7">
        <v>156584.0</v>
      </c>
      <c r="Z549" s="7">
        <v>1.41</v>
      </c>
      <c r="AA549" s="7">
        <v>322.0</v>
      </c>
      <c r="AB549" s="7"/>
      <c r="AC549" s="7"/>
      <c r="AD549" s="7"/>
    </row>
    <row r="550" ht="15.75" customHeight="1">
      <c r="A550" s="6">
        <v>45110.0</v>
      </c>
      <c r="B550" s="7">
        <f t="shared" si="1"/>
        <v>3</v>
      </c>
      <c r="C550" s="7">
        <f t="shared" si="2"/>
        <v>7</v>
      </c>
      <c r="D550" s="7">
        <v>11288.09</v>
      </c>
      <c r="E550" s="7">
        <v>21159.0</v>
      </c>
      <c r="F550" s="7">
        <v>23244.0</v>
      </c>
      <c r="G550" s="7">
        <v>44403.0</v>
      </c>
      <c r="H550" s="7">
        <v>1899.81</v>
      </c>
      <c r="I550" s="7">
        <v>8929.0</v>
      </c>
      <c r="J550" s="7">
        <v>0.213</v>
      </c>
      <c r="K550" s="7">
        <v>6809.0</v>
      </c>
      <c r="L550" s="7">
        <v>3902.31</v>
      </c>
      <c r="M550" s="7">
        <v>5287.0</v>
      </c>
      <c r="N550" s="7">
        <v>0.738</v>
      </c>
      <c r="O550" s="8">
        <v>4687.0</v>
      </c>
      <c r="P550" s="7">
        <v>4910.76</v>
      </c>
      <c r="Q550" s="7">
        <v>3339838.0</v>
      </c>
      <c r="R550" s="7">
        <v>1.47</v>
      </c>
      <c r="S550" s="7">
        <v>9701.0</v>
      </c>
      <c r="T550" s="7">
        <v>344.91</v>
      </c>
      <c r="U550" s="7">
        <v>3497.0</v>
      </c>
      <c r="V550" s="7">
        <v>0.1</v>
      </c>
      <c r="W550" s="7">
        <v>1516.0</v>
      </c>
      <c r="X550" s="7">
        <v>230.3</v>
      </c>
      <c r="Y550" s="7">
        <v>176028.0</v>
      </c>
      <c r="Z550" s="7">
        <v>1.31</v>
      </c>
      <c r="AA550" s="7">
        <v>280.0</v>
      </c>
      <c r="AB550" s="7"/>
      <c r="AC550" s="7"/>
      <c r="AD550" s="7"/>
    </row>
    <row r="551" ht="15.75" customHeight="1">
      <c r="A551" s="6">
        <v>45111.0</v>
      </c>
      <c r="B551" s="7">
        <f t="shared" si="1"/>
        <v>4</v>
      </c>
      <c r="C551" s="7">
        <f t="shared" si="2"/>
        <v>7</v>
      </c>
      <c r="D551" s="7">
        <v>10686.09</v>
      </c>
      <c r="E551" s="7">
        <v>26403.0</v>
      </c>
      <c r="F551" s="7">
        <v>22104.0</v>
      </c>
      <c r="G551" s="7">
        <v>48507.0</v>
      </c>
      <c r="H551" s="7">
        <v>1737.95</v>
      </c>
      <c r="I551" s="7">
        <v>9566.0</v>
      </c>
      <c r="J551" s="7">
        <v>0.182</v>
      </c>
      <c r="K551" s="7">
        <v>7733.0</v>
      </c>
      <c r="L551" s="7">
        <v>4093.36</v>
      </c>
      <c r="M551" s="7">
        <v>5089.0</v>
      </c>
      <c r="N551" s="7">
        <v>0.804</v>
      </c>
      <c r="O551" s="8">
        <v>4538.0</v>
      </c>
      <c r="P551" s="7">
        <v>4357.49</v>
      </c>
      <c r="Q551" s="7">
        <v>2641533.0</v>
      </c>
      <c r="R551" s="7">
        <v>1.65</v>
      </c>
      <c r="S551" s="7">
        <v>8514.0</v>
      </c>
      <c r="T551" s="7">
        <v>256.74</v>
      </c>
      <c r="U551" s="7">
        <v>3140.0</v>
      </c>
      <c r="V551" s="7">
        <v>0.08</v>
      </c>
      <c r="W551" s="7">
        <v>1368.0</v>
      </c>
      <c r="X551" s="7">
        <v>240.55</v>
      </c>
      <c r="Y551" s="7">
        <v>156898.0</v>
      </c>
      <c r="Z551" s="7">
        <v>1.53</v>
      </c>
      <c r="AA551" s="7">
        <v>401.0</v>
      </c>
      <c r="AB551" s="7"/>
      <c r="AC551" s="7"/>
      <c r="AD551" s="7"/>
    </row>
    <row r="552" ht="15.75" customHeight="1">
      <c r="A552" s="6">
        <v>45112.0</v>
      </c>
      <c r="B552" s="7">
        <f t="shared" si="1"/>
        <v>5</v>
      </c>
      <c r="C552" s="7">
        <f t="shared" si="2"/>
        <v>7</v>
      </c>
      <c r="D552" s="7">
        <v>9792.06</v>
      </c>
      <c r="E552" s="7">
        <v>22500.0</v>
      </c>
      <c r="F552" s="7">
        <v>20578.0</v>
      </c>
      <c r="G552" s="7">
        <v>43078.0</v>
      </c>
      <c r="H552" s="7">
        <v>1660.29</v>
      </c>
      <c r="I552" s="7">
        <v>8470.0</v>
      </c>
      <c r="J552" s="7">
        <v>0.196</v>
      </c>
      <c r="K552" s="7">
        <v>6797.0</v>
      </c>
      <c r="L552" s="7">
        <v>3568.21</v>
      </c>
      <c r="M552" s="7">
        <v>4422.0</v>
      </c>
      <c r="N552" s="7">
        <v>0.807</v>
      </c>
      <c r="O552" s="8">
        <v>4077.0</v>
      </c>
      <c r="P552" s="7">
        <v>4069.78</v>
      </c>
      <c r="Q552" s="7">
        <v>2361815.0</v>
      </c>
      <c r="R552" s="7">
        <v>1.72</v>
      </c>
      <c r="S552" s="7">
        <v>7986.0</v>
      </c>
      <c r="T552" s="7">
        <v>253.43</v>
      </c>
      <c r="U552" s="7">
        <v>3429.0</v>
      </c>
      <c r="V552" s="7">
        <v>0.07</v>
      </c>
      <c r="W552" s="7">
        <v>1394.0</v>
      </c>
      <c r="X552" s="7">
        <v>240.35</v>
      </c>
      <c r="Y552" s="7">
        <v>164304.0</v>
      </c>
      <c r="Z552" s="7">
        <v>1.46</v>
      </c>
      <c r="AA552" s="7">
        <v>341.0</v>
      </c>
      <c r="AB552" s="7"/>
      <c r="AC552" s="7"/>
      <c r="AD552" s="7"/>
    </row>
    <row r="553" ht="15.75" customHeight="1">
      <c r="A553" s="6">
        <v>45113.0</v>
      </c>
      <c r="B553" s="7">
        <f t="shared" si="1"/>
        <v>6</v>
      </c>
      <c r="C553" s="7">
        <f t="shared" si="2"/>
        <v>7</v>
      </c>
      <c r="D553" s="7">
        <v>9048.45</v>
      </c>
      <c r="E553" s="7">
        <v>20298.0</v>
      </c>
      <c r="F553" s="7">
        <v>19192.0</v>
      </c>
      <c r="G553" s="7">
        <v>39490.0</v>
      </c>
      <c r="H553" s="7">
        <v>1558.68</v>
      </c>
      <c r="I553" s="7">
        <v>7837.0</v>
      </c>
      <c r="J553" s="7">
        <v>0.199</v>
      </c>
      <c r="K553" s="7">
        <v>6263.0</v>
      </c>
      <c r="L553" s="7">
        <v>3043.88</v>
      </c>
      <c r="M553" s="7">
        <v>3979.0</v>
      </c>
      <c r="N553" s="7">
        <v>0.765</v>
      </c>
      <c r="O553" s="8">
        <v>3561.0</v>
      </c>
      <c r="P553" s="7">
        <v>3939.41</v>
      </c>
      <c r="Q553" s="7">
        <v>2296824.0</v>
      </c>
      <c r="R553" s="7">
        <v>1.72</v>
      </c>
      <c r="S553" s="7">
        <v>7547.0</v>
      </c>
      <c r="T553" s="7">
        <v>266.39</v>
      </c>
      <c r="U553" s="7">
        <v>3862.0</v>
      </c>
      <c r="V553" s="7">
        <v>0.07</v>
      </c>
      <c r="W553" s="7">
        <v>1569.0</v>
      </c>
      <c r="X553" s="7">
        <v>240.09</v>
      </c>
      <c r="Y553" s="7">
        <v>190024.0</v>
      </c>
      <c r="Z553" s="7">
        <v>1.26</v>
      </c>
      <c r="AA553" s="7">
        <v>328.0</v>
      </c>
      <c r="AB553" s="7"/>
      <c r="AC553" s="7"/>
      <c r="AD553" s="7"/>
    </row>
    <row r="554" ht="15.75" customHeight="1">
      <c r="A554" s="6">
        <v>45114.0</v>
      </c>
      <c r="B554" s="7">
        <f t="shared" si="1"/>
        <v>7</v>
      </c>
      <c r="C554" s="7">
        <f t="shared" si="2"/>
        <v>7</v>
      </c>
      <c r="D554" s="7">
        <v>8403.0</v>
      </c>
      <c r="E554" s="7">
        <v>20107.0</v>
      </c>
      <c r="F554" s="7">
        <v>17956.0</v>
      </c>
      <c r="G554" s="7">
        <v>38063.0</v>
      </c>
      <c r="H554" s="7">
        <v>1372.37</v>
      </c>
      <c r="I554" s="7">
        <v>7595.0</v>
      </c>
      <c r="J554" s="7">
        <v>0.181</v>
      </c>
      <c r="K554" s="7">
        <v>6019.0</v>
      </c>
      <c r="L554" s="7">
        <v>2665.1</v>
      </c>
      <c r="M554" s="7">
        <v>3458.0</v>
      </c>
      <c r="N554" s="7">
        <v>0.771</v>
      </c>
      <c r="O554" s="8">
        <v>3216.0</v>
      </c>
      <c r="P554" s="7">
        <v>3901.08</v>
      </c>
      <c r="Q554" s="7">
        <v>2247662.0</v>
      </c>
      <c r="R554" s="7">
        <v>1.74</v>
      </c>
      <c r="S554" s="7">
        <v>7332.0</v>
      </c>
      <c r="T554" s="7">
        <v>224.82</v>
      </c>
      <c r="U554" s="7">
        <v>2827.0</v>
      </c>
      <c r="V554" s="7">
        <v>0.08</v>
      </c>
      <c r="W554" s="7">
        <v>1195.0</v>
      </c>
      <c r="X554" s="7">
        <v>239.63</v>
      </c>
      <c r="Y554" s="7">
        <v>179876.0</v>
      </c>
      <c r="Z554" s="7">
        <v>1.33</v>
      </c>
      <c r="AA554" s="7">
        <v>290.0</v>
      </c>
      <c r="AB554" s="7"/>
      <c r="AC554" s="7"/>
      <c r="AD554" s="7"/>
    </row>
    <row r="555" ht="15.75" customHeight="1">
      <c r="A555" s="6">
        <v>45115.0</v>
      </c>
      <c r="B555" s="7">
        <f t="shared" si="1"/>
        <v>8</v>
      </c>
      <c r="C555" s="7">
        <f t="shared" si="2"/>
        <v>7</v>
      </c>
      <c r="D555" s="7">
        <v>8825.71</v>
      </c>
      <c r="E555" s="7">
        <v>17598.0</v>
      </c>
      <c r="F555" s="7">
        <v>18707.0</v>
      </c>
      <c r="G555" s="7">
        <v>36305.0</v>
      </c>
      <c r="H555" s="7">
        <v>1410.13</v>
      </c>
      <c r="I555" s="7">
        <v>7287.0</v>
      </c>
      <c r="J555" s="7">
        <v>0.194</v>
      </c>
      <c r="K555" s="7">
        <v>5553.0</v>
      </c>
      <c r="L555" s="7">
        <v>2889.3</v>
      </c>
      <c r="M555" s="7">
        <v>3805.0</v>
      </c>
      <c r="N555" s="7">
        <v>0.759</v>
      </c>
      <c r="O555" s="8">
        <v>3347.0</v>
      </c>
      <c r="P555" s="7">
        <v>4096.04</v>
      </c>
      <c r="Q555" s="7">
        <v>2385650.0</v>
      </c>
      <c r="R555" s="7">
        <v>1.72</v>
      </c>
      <c r="S555" s="7">
        <v>8265.0</v>
      </c>
      <c r="T555" s="7">
        <v>192.71</v>
      </c>
      <c r="U555" s="7">
        <v>3008.0</v>
      </c>
      <c r="V555" s="7">
        <v>0.06</v>
      </c>
      <c r="W555" s="7">
        <v>1176.0</v>
      </c>
      <c r="X555" s="7">
        <v>237.53</v>
      </c>
      <c r="Y555" s="7">
        <v>165800.0</v>
      </c>
      <c r="Z555" s="7">
        <v>1.43</v>
      </c>
      <c r="AA555" s="7">
        <v>302.0</v>
      </c>
      <c r="AB555" s="7"/>
      <c r="AC555" s="7"/>
      <c r="AD555" s="7"/>
    </row>
    <row r="556" ht="15.75" customHeight="1">
      <c r="A556" s="6">
        <v>45116.0</v>
      </c>
      <c r="B556" s="7">
        <f t="shared" si="1"/>
        <v>9</v>
      </c>
      <c r="C556" s="7">
        <f t="shared" si="2"/>
        <v>7</v>
      </c>
      <c r="D556" s="7">
        <v>10101.53</v>
      </c>
      <c r="E556" s="7">
        <v>18656.0</v>
      </c>
      <c r="F556" s="7">
        <v>21553.0</v>
      </c>
      <c r="G556" s="7">
        <v>40209.0</v>
      </c>
      <c r="H556" s="7">
        <v>1422.24</v>
      </c>
      <c r="I556" s="7">
        <v>8260.0</v>
      </c>
      <c r="J556" s="7">
        <v>0.172</v>
      </c>
      <c r="K556" s="7">
        <v>6230.0</v>
      </c>
      <c r="L556" s="7">
        <v>3790.15</v>
      </c>
      <c r="M556" s="7">
        <v>5381.0</v>
      </c>
      <c r="N556" s="7">
        <v>0.704</v>
      </c>
      <c r="O556" s="8">
        <v>4398.0</v>
      </c>
      <c r="P556" s="7">
        <v>4434.61</v>
      </c>
      <c r="Q556" s="7">
        <v>2689703.0</v>
      </c>
      <c r="R556" s="7">
        <v>1.65</v>
      </c>
      <c r="S556" s="7">
        <v>9618.0</v>
      </c>
      <c r="T556" s="7">
        <v>213.38</v>
      </c>
      <c r="U556" s="7">
        <v>2920.0</v>
      </c>
      <c r="V556" s="7">
        <v>0.07</v>
      </c>
      <c r="W556" s="7">
        <v>1282.0</v>
      </c>
      <c r="X556" s="7">
        <v>241.15</v>
      </c>
      <c r="Y556" s="7">
        <v>183401.0</v>
      </c>
      <c r="Z556" s="7">
        <v>1.31</v>
      </c>
      <c r="AA556" s="7">
        <v>396.0</v>
      </c>
      <c r="AB556" s="7"/>
      <c r="AC556" s="7"/>
      <c r="AD556" s="7"/>
    </row>
    <row r="557" ht="15.75" customHeight="1">
      <c r="A557" s="6">
        <v>45117.0</v>
      </c>
      <c r="B557" s="7">
        <f t="shared" si="1"/>
        <v>10</v>
      </c>
      <c r="C557" s="7">
        <f t="shared" si="2"/>
        <v>7</v>
      </c>
      <c r="D557" s="7">
        <v>9993.13</v>
      </c>
      <c r="E557" s="7">
        <v>22199.0</v>
      </c>
      <c r="F557" s="7">
        <v>20713.0</v>
      </c>
      <c r="G557" s="7">
        <v>42912.0</v>
      </c>
      <c r="H557" s="7">
        <v>1552.29</v>
      </c>
      <c r="I557" s="7">
        <v>8812.0</v>
      </c>
      <c r="J557" s="7">
        <v>0.176</v>
      </c>
      <c r="K557" s="7">
        <v>6768.0</v>
      </c>
      <c r="L557" s="7">
        <v>3663.46</v>
      </c>
      <c r="M557" s="7">
        <v>4695.0</v>
      </c>
      <c r="N557" s="7">
        <v>0.78</v>
      </c>
      <c r="O557" s="8">
        <v>4227.0</v>
      </c>
      <c r="P557" s="7">
        <v>4255.46</v>
      </c>
      <c r="Q557" s="7">
        <v>2729378.0</v>
      </c>
      <c r="R557" s="7">
        <v>1.56</v>
      </c>
      <c r="S557" s="7">
        <v>8445.0</v>
      </c>
      <c r="T557" s="7">
        <v>281.03</v>
      </c>
      <c r="U557" s="7">
        <v>3119.0</v>
      </c>
      <c r="V557" s="7">
        <v>0.09</v>
      </c>
      <c r="W557" s="7">
        <v>1488.0</v>
      </c>
      <c r="X557" s="7">
        <v>240.89</v>
      </c>
      <c r="Y557" s="7">
        <v>186968.0</v>
      </c>
      <c r="Z557" s="7">
        <v>1.29</v>
      </c>
      <c r="AA557" s="7">
        <v>427.0</v>
      </c>
      <c r="AB557" s="7"/>
      <c r="AC557" s="7"/>
      <c r="AD557" s="7"/>
    </row>
    <row r="558" ht="15.75" customHeight="1">
      <c r="A558" s="6">
        <v>45118.0</v>
      </c>
      <c r="B558" s="7">
        <f t="shared" si="1"/>
        <v>11</v>
      </c>
      <c r="C558" s="7">
        <f t="shared" si="2"/>
        <v>7</v>
      </c>
      <c r="D558" s="7">
        <v>9851.41</v>
      </c>
      <c r="E558" s="7">
        <v>21222.0</v>
      </c>
      <c r="F558" s="7">
        <v>20769.0</v>
      </c>
      <c r="G558" s="7">
        <v>41991.0</v>
      </c>
      <c r="H558" s="7">
        <v>1691.26</v>
      </c>
      <c r="I558" s="7">
        <v>8347.0</v>
      </c>
      <c r="J558" s="7">
        <v>0.203</v>
      </c>
      <c r="K558" s="7">
        <v>6734.0</v>
      </c>
      <c r="L558" s="7">
        <v>3549.04</v>
      </c>
      <c r="M558" s="7">
        <v>4456.0</v>
      </c>
      <c r="N558" s="7">
        <v>0.796</v>
      </c>
      <c r="O558" s="8">
        <v>4062.0</v>
      </c>
      <c r="P558" s="7">
        <v>4058.21</v>
      </c>
      <c r="Q558" s="7">
        <v>2511178.0</v>
      </c>
      <c r="R558" s="7">
        <v>1.62</v>
      </c>
      <c r="S558" s="7">
        <v>8290.0</v>
      </c>
      <c r="T558" s="7">
        <v>312.39</v>
      </c>
      <c r="U558" s="7">
        <v>3382.0</v>
      </c>
      <c r="V558" s="7">
        <v>0.09</v>
      </c>
      <c r="W558" s="7">
        <v>1543.0</v>
      </c>
      <c r="X558" s="7">
        <v>240.51</v>
      </c>
      <c r="Y558" s="7">
        <v>178602.0</v>
      </c>
      <c r="Z558" s="7">
        <v>1.35</v>
      </c>
      <c r="AA558" s="7">
        <v>532.0</v>
      </c>
      <c r="AB558" s="7"/>
      <c r="AC558" s="7"/>
      <c r="AD558" s="7"/>
    </row>
    <row r="559" ht="15.75" customHeight="1">
      <c r="A559" s="6">
        <v>45119.0</v>
      </c>
      <c r="B559" s="7">
        <f t="shared" si="1"/>
        <v>12</v>
      </c>
      <c r="C559" s="7">
        <f t="shared" si="2"/>
        <v>7</v>
      </c>
      <c r="D559" s="7">
        <v>8945.22</v>
      </c>
      <c r="E559" s="7">
        <v>19920.0</v>
      </c>
      <c r="F559" s="7">
        <v>19383.0</v>
      </c>
      <c r="G559" s="7">
        <v>39303.0</v>
      </c>
      <c r="H559" s="7">
        <v>1381.15</v>
      </c>
      <c r="I559" s="7">
        <v>7860.0</v>
      </c>
      <c r="J559" s="7">
        <v>0.176</v>
      </c>
      <c r="K559" s="7">
        <v>6276.0</v>
      </c>
      <c r="L559" s="7">
        <v>3095.88</v>
      </c>
      <c r="M559" s="7">
        <v>4042.0</v>
      </c>
      <c r="N559" s="7">
        <v>0.766</v>
      </c>
      <c r="O559" s="8">
        <v>3674.0</v>
      </c>
      <c r="P559" s="7">
        <v>3963.76</v>
      </c>
      <c r="Q559" s="7">
        <v>2355871.0</v>
      </c>
      <c r="R559" s="7">
        <v>1.68</v>
      </c>
      <c r="S559" s="7">
        <v>7893.0</v>
      </c>
      <c r="T559" s="7">
        <v>264.18</v>
      </c>
      <c r="U559" s="7">
        <v>2756.0</v>
      </c>
      <c r="V559" s="7">
        <v>0.1</v>
      </c>
      <c r="W559" s="7">
        <v>1458.0</v>
      </c>
      <c r="X559" s="7">
        <v>240.25</v>
      </c>
      <c r="Y559" s="7">
        <v>186765.0</v>
      </c>
      <c r="Z559" s="7">
        <v>1.29</v>
      </c>
      <c r="AA559" s="7">
        <v>578.0</v>
      </c>
      <c r="AB559" s="7"/>
      <c r="AC559" s="7"/>
      <c r="AD559" s="7"/>
    </row>
    <row r="560" ht="15.75" customHeight="1">
      <c r="A560" s="6">
        <v>45120.0</v>
      </c>
      <c r="B560" s="7">
        <f t="shared" si="1"/>
        <v>13</v>
      </c>
      <c r="C560" s="7">
        <f t="shared" si="2"/>
        <v>7</v>
      </c>
      <c r="D560" s="7">
        <v>9012.04</v>
      </c>
      <c r="E560" s="7">
        <v>20134.0</v>
      </c>
      <c r="F560" s="7">
        <v>20906.0</v>
      </c>
      <c r="G560" s="7">
        <v>41040.0</v>
      </c>
      <c r="H560" s="7">
        <v>1358.96</v>
      </c>
      <c r="I560" s="7">
        <v>7974.0</v>
      </c>
      <c r="J560" s="7">
        <v>0.17</v>
      </c>
      <c r="K560" s="7">
        <v>6382.0</v>
      </c>
      <c r="L560" s="7">
        <v>3141.75</v>
      </c>
      <c r="M560" s="7">
        <v>4017.0</v>
      </c>
      <c r="N560" s="7">
        <v>0.782</v>
      </c>
      <c r="O560" s="8">
        <v>3644.0</v>
      </c>
      <c r="P560" s="7">
        <v>4004.62</v>
      </c>
      <c r="Q560" s="7">
        <v>2370381.0</v>
      </c>
      <c r="R560" s="7">
        <v>1.69</v>
      </c>
      <c r="S560" s="7">
        <v>8310.0</v>
      </c>
      <c r="T560" s="7">
        <v>266.74</v>
      </c>
      <c r="U560" s="7">
        <v>3669.0</v>
      </c>
      <c r="V560" s="7">
        <v>0.07</v>
      </c>
      <c r="W560" s="7">
        <v>1844.0</v>
      </c>
      <c r="X560" s="7">
        <v>239.97</v>
      </c>
      <c r="Y560" s="7">
        <v>162795.0</v>
      </c>
      <c r="Z560" s="7">
        <v>1.47</v>
      </c>
      <c r="AA560" s="7">
        <v>584.0</v>
      </c>
      <c r="AB560" s="7"/>
      <c r="AC560" s="7"/>
      <c r="AD560" s="7"/>
    </row>
    <row r="561" ht="15.75" customHeight="1">
      <c r="A561" s="6">
        <v>45121.0</v>
      </c>
      <c r="B561" s="7">
        <f t="shared" si="1"/>
        <v>14</v>
      </c>
      <c r="C561" s="7">
        <f t="shared" si="2"/>
        <v>7</v>
      </c>
      <c r="D561" s="7">
        <v>8979.27</v>
      </c>
      <c r="E561" s="7">
        <v>19187.0</v>
      </c>
      <c r="F561" s="7">
        <v>19959.0</v>
      </c>
      <c r="G561" s="7">
        <v>39146.0</v>
      </c>
      <c r="H561" s="7">
        <v>1333.76</v>
      </c>
      <c r="I561" s="7">
        <v>7306.0</v>
      </c>
      <c r="J561" s="7">
        <v>0.183</v>
      </c>
      <c r="K561" s="7">
        <v>5696.0</v>
      </c>
      <c r="L561" s="7">
        <v>3225.24</v>
      </c>
      <c r="M561" s="7">
        <v>4095.0</v>
      </c>
      <c r="N561" s="7">
        <v>0.788</v>
      </c>
      <c r="O561" s="8">
        <v>3529.0</v>
      </c>
      <c r="P561" s="7">
        <v>3943.94</v>
      </c>
      <c r="Q561" s="7">
        <v>2334244.0</v>
      </c>
      <c r="R561" s="7">
        <v>1.69</v>
      </c>
      <c r="S561" s="7">
        <v>8282.0</v>
      </c>
      <c r="T561" s="7">
        <v>236.74</v>
      </c>
      <c r="U561" s="7">
        <v>3149.0</v>
      </c>
      <c r="V561" s="7">
        <v>0.08</v>
      </c>
      <c r="W561" s="7">
        <v>2007.0</v>
      </c>
      <c r="X561" s="7">
        <v>239.59</v>
      </c>
      <c r="Y561" s="7">
        <v>175571.0</v>
      </c>
      <c r="Z561" s="7">
        <v>1.36</v>
      </c>
      <c r="AA561" s="7">
        <v>557.0</v>
      </c>
      <c r="AB561" s="7"/>
      <c r="AC561" s="7"/>
      <c r="AD561" s="7"/>
    </row>
    <row r="562" ht="15.75" customHeight="1">
      <c r="A562" s="6">
        <v>45122.0</v>
      </c>
      <c r="B562" s="7">
        <f t="shared" si="1"/>
        <v>15</v>
      </c>
      <c r="C562" s="7">
        <f t="shared" si="2"/>
        <v>7</v>
      </c>
      <c r="D562" s="7">
        <v>9219.22</v>
      </c>
      <c r="E562" s="7">
        <v>17095.0</v>
      </c>
      <c r="F562" s="7">
        <v>20681.0</v>
      </c>
      <c r="G562" s="7">
        <v>37776.0</v>
      </c>
      <c r="H562" s="7">
        <v>1313.5</v>
      </c>
      <c r="I562" s="7">
        <v>7014.0</v>
      </c>
      <c r="J562" s="7">
        <v>0.187</v>
      </c>
      <c r="K562" s="7">
        <v>5451.0</v>
      </c>
      <c r="L562" s="7">
        <v>3344.81</v>
      </c>
      <c r="M562" s="7">
        <v>4211.0</v>
      </c>
      <c r="N562" s="7">
        <v>0.794</v>
      </c>
      <c r="O562" s="8">
        <v>3633.0</v>
      </c>
      <c r="P562" s="7">
        <v>4133.87</v>
      </c>
      <c r="Q562" s="7">
        <v>2479312.0</v>
      </c>
      <c r="R562" s="7">
        <v>1.67</v>
      </c>
      <c r="S562" s="7">
        <v>9506.0</v>
      </c>
      <c r="T562" s="7">
        <v>189.43</v>
      </c>
      <c r="U562" s="7">
        <v>3037.0</v>
      </c>
      <c r="V562" s="7">
        <v>0.06</v>
      </c>
      <c r="W562" s="7">
        <v>1848.0</v>
      </c>
      <c r="X562" s="7">
        <v>237.61</v>
      </c>
      <c r="Y562" s="7">
        <v>154547.0</v>
      </c>
      <c r="Z562" s="7">
        <v>1.54</v>
      </c>
      <c r="AA562" s="7">
        <v>540.0</v>
      </c>
      <c r="AB562" s="7"/>
      <c r="AC562" s="7"/>
      <c r="AD562" s="7"/>
    </row>
    <row r="563" ht="15.75" customHeight="1">
      <c r="A563" s="6">
        <v>45123.0</v>
      </c>
      <c r="B563" s="7">
        <f t="shared" si="1"/>
        <v>16</v>
      </c>
      <c r="C563" s="7">
        <f t="shared" si="2"/>
        <v>7</v>
      </c>
      <c r="D563" s="7">
        <v>10272.73</v>
      </c>
      <c r="E563" s="7">
        <v>22067.0</v>
      </c>
      <c r="F563" s="7">
        <v>21520.0</v>
      </c>
      <c r="G563" s="7">
        <v>43587.0</v>
      </c>
      <c r="H563" s="7">
        <v>1495.09</v>
      </c>
      <c r="I563" s="7">
        <v>8277.0</v>
      </c>
      <c r="J563" s="7">
        <v>0.181</v>
      </c>
      <c r="K563" s="7">
        <v>5627.0</v>
      </c>
      <c r="L563" s="7">
        <v>3834.63</v>
      </c>
      <c r="M563" s="7">
        <v>5162.0</v>
      </c>
      <c r="N563" s="7">
        <v>0.743</v>
      </c>
      <c r="O563" s="8">
        <v>3761.0</v>
      </c>
      <c r="P563" s="7">
        <v>4501.72</v>
      </c>
      <c r="Q563" s="7">
        <v>2915989.0</v>
      </c>
      <c r="R563" s="7">
        <v>1.54</v>
      </c>
      <c r="S563" s="7">
        <v>9602.0</v>
      </c>
      <c r="T563" s="7">
        <v>200.15</v>
      </c>
      <c r="U563" s="7">
        <v>2907.0</v>
      </c>
      <c r="V563" s="7">
        <v>0.07</v>
      </c>
      <c r="W563" s="7">
        <v>1703.0</v>
      </c>
      <c r="X563" s="7">
        <v>241.14</v>
      </c>
      <c r="Y563" s="7">
        <v>183344.0</v>
      </c>
      <c r="Z563" s="7">
        <v>1.32</v>
      </c>
      <c r="AA563" s="7">
        <v>556.0</v>
      </c>
      <c r="AB563" s="7"/>
      <c r="AC563" s="7"/>
      <c r="AD563" s="7"/>
    </row>
    <row r="564" ht="15.75" customHeight="1">
      <c r="A564" s="6">
        <v>45124.0</v>
      </c>
      <c r="B564" s="7">
        <f t="shared" si="1"/>
        <v>17</v>
      </c>
      <c r="C564" s="7">
        <f t="shared" si="2"/>
        <v>7</v>
      </c>
      <c r="D564" s="7">
        <v>9878.22</v>
      </c>
      <c r="E564" s="7">
        <v>22143.0</v>
      </c>
      <c r="F564" s="7">
        <v>24263.0</v>
      </c>
      <c r="G564" s="7">
        <v>46406.0</v>
      </c>
      <c r="H564" s="7">
        <v>1728.31</v>
      </c>
      <c r="I564" s="7">
        <v>9023.0</v>
      </c>
      <c r="J564" s="7">
        <v>0.192</v>
      </c>
      <c r="K564" s="7">
        <v>7123.0</v>
      </c>
      <c r="L564" s="7">
        <v>3336.58</v>
      </c>
      <c r="M564" s="7">
        <v>4294.0</v>
      </c>
      <c r="N564" s="7">
        <v>0.777</v>
      </c>
      <c r="O564" s="8">
        <v>4005.0</v>
      </c>
      <c r="P564" s="7">
        <v>4255.97</v>
      </c>
      <c r="Q564" s="7">
        <v>2910624.0</v>
      </c>
      <c r="R564" s="7">
        <v>1.46</v>
      </c>
      <c r="S564" s="7">
        <v>10067.0</v>
      </c>
      <c r="T564" s="7">
        <v>316.14</v>
      </c>
      <c r="U564" s="7">
        <v>3440.0</v>
      </c>
      <c r="V564" s="7">
        <v>0.09</v>
      </c>
      <c r="W564" s="7">
        <v>2197.0</v>
      </c>
      <c r="X564" s="7">
        <v>241.22</v>
      </c>
      <c r="Y564" s="7">
        <v>231440.0</v>
      </c>
      <c r="Z564" s="7">
        <v>1.04</v>
      </c>
      <c r="AA564" s="7">
        <v>576.0</v>
      </c>
      <c r="AB564" s="7"/>
      <c r="AC564" s="7"/>
      <c r="AD564" s="7"/>
    </row>
    <row r="565" ht="15.75" customHeight="1">
      <c r="A565" s="6">
        <v>45125.0</v>
      </c>
      <c r="B565" s="7">
        <f t="shared" si="1"/>
        <v>18</v>
      </c>
      <c r="C565" s="7">
        <f t="shared" si="2"/>
        <v>7</v>
      </c>
      <c r="D565" s="7">
        <v>9557.67</v>
      </c>
      <c r="E565" s="7">
        <v>20900.0</v>
      </c>
      <c r="F565" s="7">
        <v>22561.0</v>
      </c>
      <c r="G565" s="7">
        <v>43461.0</v>
      </c>
      <c r="H565" s="7">
        <v>1769.02</v>
      </c>
      <c r="I565" s="7">
        <v>8671.0</v>
      </c>
      <c r="J565" s="7">
        <v>0.204</v>
      </c>
      <c r="K565" s="7">
        <v>7002.0</v>
      </c>
      <c r="L565" s="7">
        <v>3265.28</v>
      </c>
      <c r="M565" s="7">
        <v>4151.0</v>
      </c>
      <c r="N565" s="7">
        <v>0.787</v>
      </c>
      <c r="O565" s="8">
        <v>3924.0</v>
      </c>
      <c r="P565" s="7">
        <v>4116.85</v>
      </c>
      <c r="Q565" s="7">
        <v>2643257.0</v>
      </c>
      <c r="R565" s="7">
        <v>1.56</v>
      </c>
      <c r="S565" s="7">
        <v>9891.0</v>
      </c>
      <c r="T565" s="7">
        <v>165.98</v>
      </c>
      <c r="U565" s="7">
        <v>1465.0</v>
      </c>
      <c r="V565" s="7">
        <v>0.11</v>
      </c>
      <c r="W565" s="7">
        <v>1353.0</v>
      </c>
      <c r="X565" s="7">
        <v>240.54</v>
      </c>
      <c r="Y565" s="7">
        <v>161764.0</v>
      </c>
      <c r="Z565" s="7">
        <v>1.49</v>
      </c>
      <c r="AA565" s="7">
        <v>417.0</v>
      </c>
      <c r="AB565" s="7"/>
      <c r="AC565" s="7"/>
      <c r="AD565" s="7"/>
    </row>
    <row r="566" ht="15.75" customHeight="1">
      <c r="A566" s="6">
        <v>45126.0</v>
      </c>
      <c r="B566" s="7">
        <f t="shared" si="1"/>
        <v>19</v>
      </c>
      <c r="C566" s="7">
        <f t="shared" si="2"/>
        <v>7</v>
      </c>
      <c r="D566" s="7">
        <v>8988.63</v>
      </c>
      <c r="E566" s="7">
        <v>19638.0</v>
      </c>
      <c r="F566" s="7">
        <v>20926.0</v>
      </c>
      <c r="G566" s="7">
        <v>40564.0</v>
      </c>
      <c r="H566" s="7">
        <v>1455.57</v>
      </c>
      <c r="I566" s="7">
        <v>8061.0</v>
      </c>
      <c r="J566" s="7">
        <v>0.181</v>
      </c>
      <c r="K566" s="7">
        <v>6555.0</v>
      </c>
      <c r="L566" s="7">
        <v>2996.73</v>
      </c>
      <c r="M566" s="7">
        <v>3933.0</v>
      </c>
      <c r="N566" s="7">
        <v>0.762</v>
      </c>
      <c r="O566" s="8">
        <v>3786.0</v>
      </c>
      <c r="P566" s="7">
        <v>4065.71</v>
      </c>
      <c r="Q566" s="7">
        <v>2580870.0</v>
      </c>
      <c r="R566" s="7">
        <v>1.58</v>
      </c>
      <c r="S566" s="7">
        <v>9089.0</v>
      </c>
      <c r="T566" s="7">
        <v>230.4</v>
      </c>
      <c r="U566" s="7">
        <v>2537.0</v>
      </c>
      <c r="V566" s="7">
        <v>0.09</v>
      </c>
      <c r="W566" s="7">
        <v>1231.0</v>
      </c>
      <c r="X566" s="7">
        <v>240.22</v>
      </c>
      <c r="Y566" s="7">
        <v>168546.0</v>
      </c>
      <c r="Z566" s="7">
        <v>1.43</v>
      </c>
      <c r="AA566" s="7">
        <v>459.0</v>
      </c>
      <c r="AB566" s="7"/>
      <c r="AC566" s="7"/>
      <c r="AD566" s="7"/>
    </row>
    <row r="567" ht="15.75" customHeight="1">
      <c r="A567" s="6">
        <v>45127.0</v>
      </c>
      <c r="B567" s="7">
        <f t="shared" si="1"/>
        <v>20</v>
      </c>
      <c r="C567" s="7">
        <f t="shared" si="2"/>
        <v>7</v>
      </c>
      <c r="D567" s="7">
        <v>9145.95</v>
      </c>
      <c r="E567" s="7">
        <v>19069.0</v>
      </c>
      <c r="F567" s="7">
        <v>20715.0</v>
      </c>
      <c r="G567" s="7">
        <v>39784.0</v>
      </c>
      <c r="H567" s="7">
        <v>1516.32</v>
      </c>
      <c r="I567" s="7">
        <v>7847.0</v>
      </c>
      <c r="J567" s="7">
        <v>0.193</v>
      </c>
      <c r="K567" s="7">
        <v>6147.0</v>
      </c>
      <c r="L567" s="7">
        <v>2955.12</v>
      </c>
      <c r="M567" s="7">
        <v>3831.0</v>
      </c>
      <c r="N567" s="7">
        <v>0.771</v>
      </c>
      <c r="O567" s="8">
        <v>3722.0</v>
      </c>
      <c r="P567" s="7">
        <v>4102.51</v>
      </c>
      <c r="Q567" s="7">
        <v>2545139.0</v>
      </c>
      <c r="R567" s="7">
        <v>1.61</v>
      </c>
      <c r="S567" s="7">
        <v>9133.0</v>
      </c>
      <c r="T567" s="7">
        <v>332.27</v>
      </c>
      <c r="U567" s="7">
        <v>4312.0</v>
      </c>
      <c r="V567" s="7">
        <v>0.08</v>
      </c>
      <c r="W567" s="7">
        <v>1710.0</v>
      </c>
      <c r="X567" s="7">
        <v>239.73</v>
      </c>
      <c r="Y567" s="7">
        <v>175402.0</v>
      </c>
      <c r="Z567" s="7">
        <v>1.37</v>
      </c>
      <c r="AA567" s="7">
        <v>410.0</v>
      </c>
      <c r="AB567" s="7"/>
      <c r="AC567" s="7"/>
      <c r="AD567" s="7"/>
    </row>
    <row r="568" ht="15.75" customHeight="1">
      <c r="A568" s="6">
        <v>45128.0</v>
      </c>
      <c r="B568" s="7">
        <f t="shared" si="1"/>
        <v>21</v>
      </c>
      <c r="C568" s="7">
        <f t="shared" si="2"/>
        <v>7</v>
      </c>
      <c r="D568" s="7">
        <v>8623.09</v>
      </c>
      <c r="E568" s="7">
        <v>17516.0</v>
      </c>
      <c r="F568" s="7">
        <v>19439.0</v>
      </c>
      <c r="G568" s="7">
        <v>36955.0</v>
      </c>
      <c r="H568" s="7">
        <v>1429.61</v>
      </c>
      <c r="I568" s="7">
        <v>7226.0</v>
      </c>
      <c r="J568" s="7">
        <v>0.198</v>
      </c>
      <c r="K568" s="7">
        <v>5764.0</v>
      </c>
      <c r="L568" s="7">
        <v>2725.06</v>
      </c>
      <c r="M568" s="7">
        <v>3675.0</v>
      </c>
      <c r="N568" s="7">
        <v>0.742</v>
      </c>
      <c r="O568" s="8">
        <v>3433.0</v>
      </c>
      <c r="P568" s="7">
        <v>3959.44</v>
      </c>
      <c r="Q568" s="7">
        <v>2381099.0</v>
      </c>
      <c r="R568" s="7">
        <v>1.66</v>
      </c>
      <c r="S568" s="7">
        <v>8115.0</v>
      </c>
      <c r="T568" s="7">
        <v>269.32</v>
      </c>
      <c r="U568" s="7">
        <v>3152.0</v>
      </c>
      <c r="V568" s="7">
        <v>0.09</v>
      </c>
      <c r="W568" s="7">
        <v>1682.0</v>
      </c>
      <c r="X568" s="7">
        <v>239.66</v>
      </c>
      <c r="Y568" s="7">
        <v>182751.0</v>
      </c>
      <c r="Z568" s="7">
        <v>1.31</v>
      </c>
      <c r="AA568" s="7">
        <v>352.0</v>
      </c>
      <c r="AB568" s="7"/>
      <c r="AC568" s="7"/>
      <c r="AD568" s="7"/>
    </row>
    <row r="569" ht="15.75" customHeight="1">
      <c r="A569" s="6">
        <v>45129.0</v>
      </c>
      <c r="B569" s="7">
        <f t="shared" si="1"/>
        <v>22</v>
      </c>
      <c r="C569" s="7">
        <f t="shared" si="2"/>
        <v>7</v>
      </c>
      <c r="D569" s="7">
        <v>8469.97</v>
      </c>
      <c r="E569" s="7">
        <v>16995.0</v>
      </c>
      <c r="F569" s="7">
        <v>20053.0</v>
      </c>
      <c r="G569" s="7">
        <v>37048.0</v>
      </c>
      <c r="H569" s="7">
        <v>1276.81</v>
      </c>
      <c r="I569" s="7">
        <v>7234.0</v>
      </c>
      <c r="J569" s="7">
        <v>0.177</v>
      </c>
      <c r="K569" s="7">
        <v>5613.0</v>
      </c>
      <c r="L569" s="7">
        <v>2706.5</v>
      </c>
      <c r="M569" s="7">
        <v>4012.0</v>
      </c>
      <c r="N569" s="7">
        <v>0.675</v>
      </c>
      <c r="O569" s="8">
        <v>3664.0</v>
      </c>
      <c r="P569" s="7">
        <v>4005.24</v>
      </c>
      <c r="Q569" s="7">
        <v>2427465.0</v>
      </c>
      <c r="R569" s="7">
        <v>1.65</v>
      </c>
      <c r="S569" s="7">
        <v>9078.0</v>
      </c>
      <c r="T569" s="7">
        <v>243.98</v>
      </c>
      <c r="U569" s="7">
        <v>2429.0</v>
      </c>
      <c r="V569" s="7">
        <v>0.1</v>
      </c>
      <c r="W569" s="7">
        <v>1728.0</v>
      </c>
      <c r="X569" s="7">
        <v>237.44</v>
      </c>
      <c r="Y569" s="7">
        <v>146440.0</v>
      </c>
      <c r="Z569" s="7">
        <v>1.62</v>
      </c>
      <c r="AA569" s="7">
        <v>421.0</v>
      </c>
      <c r="AB569" s="7"/>
      <c r="AC569" s="7"/>
      <c r="AD569" s="7"/>
    </row>
    <row r="570" ht="15.75" customHeight="1">
      <c r="A570" s="6">
        <v>45130.0</v>
      </c>
      <c r="B570" s="7">
        <f t="shared" si="1"/>
        <v>23</v>
      </c>
      <c r="C570" s="7">
        <f t="shared" si="2"/>
        <v>7</v>
      </c>
      <c r="D570" s="7">
        <v>9143.47</v>
      </c>
      <c r="E570" s="7">
        <v>18974.0</v>
      </c>
      <c r="F570" s="7">
        <v>22910.0</v>
      </c>
      <c r="G570" s="7">
        <v>41884.0</v>
      </c>
      <c r="H570" s="7">
        <v>1390.62</v>
      </c>
      <c r="I570" s="7">
        <v>7996.0</v>
      </c>
      <c r="J570" s="7">
        <v>0.174</v>
      </c>
      <c r="K570" s="7">
        <v>6112.0</v>
      </c>
      <c r="L570" s="7">
        <v>3003.15</v>
      </c>
      <c r="M570" s="7">
        <v>4823.0</v>
      </c>
      <c r="N570" s="7">
        <v>0.623</v>
      </c>
      <c r="O570" s="8">
        <v>4223.0</v>
      </c>
      <c r="P570" s="7">
        <v>4265.57</v>
      </c>
      <c r="Q570" s="7">
        <v>2843235.0</v>
      </c>
      <c r="R570" s="7">
        <v>1.5</v>
      </c>
      <c r="S570" s="7">
        <v>10282.0</v>
      </c>
      <c r="T570" s="7">
        <v>243.0</v>
      </c>
      <c r="U570" s="7">
        <v>2859.0</v>
      </c>
      <c r="V570" s="7">
        <v>0.08</v>
      </c>
      <c r="W570" s="7">
        <v>1876.0</v>
      </c>
      <c r="X570" s="7">
        <v>241.13</v>
      </c>
      <c r="Y570" s="7">
        <v>141694.0</v>
      </c>
      <c r="Z570" s="7">
        <v>1.7</v>
      </c>
      <c r="AA570" s="7">
        <v>526.0</v>
      </c>
      <c r="AB570" s="7"/>
      <c r="AC570" s="7"/>
      <c r="AD570" s="7"/>
    </row>
    <row r="571" ht="15.75" customHeight="1">
      <c r="A571" s="6">
        <v>45131.0</v>
      </c>
      <c r="B571" s="7">
        <f t="shared" si="1"/>
        <v>24</v>
      </c>
      <c r="C571" s="7">
        <f t="shared" si="2"/>
        <v>7</v>
      </c>
      <c r="D571" s="7">
        <v>9730.75</v>
      </c>
      <c r="E571" s="7">
        <v>21551.0</v>
      </c>
      <c r="F571" s="7">
        <v>23374.0</v>
      </c>
      <c r="G571" s="7">
        <v>44925.0</v>
      </c>
      <c r="H571" s="7">
        <v>1743.76</v>
      </c>
      <c r="I571" s="7">
        <v>8851.0</v>
      </c>
      <c r="J571" s="7">
        <v>0.197</v>
      </c>
      <c r="K571" s="7">
        <v>7046.0</v>
      </c>
      <c r="L571" s="7">
        <v>3166.73</v>
      </c>
      <c r="M571" s="7">
        <v>4448.0</v>
      </c>
      <c r="N571" s="7">
        <v>0.712</v>
      </c>
      <c r="O571" s="8">
        <v>4149.0</v>
      </c>
      <c r="P571" s="7">
        <v>4189.75</v>
      </c>
      <c r="Q571" s="7">
        <v>2967466.0</v>
      </c>
      <c r="R571" s="7">
        <v>1.41</v>
      </c>
      <c r="S571" s="7">
        <v>9729.0</v>
      </c>
      <c r="T571" s="7">
        <v>404.63</v>
      </c>
      <c r="U571" s="7">
        <v>3462.0</v>
      </c>
      <c r="V571" s="7">
        <v>0.12</v>
      </c>
      <c r="W571" s="7">
        <v>2358.0</v>
      </c>
      <c r="X571" s="7">
        <v>225.88</v>
      </c>
      <c r="Y571" s="7">
        <v>167280.0</v>
      </c>
      <c r="Z571" s="7">
        <v>1.35</v>
      </c>
      <c r="AA571" s="7">
        <v>411.0</v>
      </c>
      <c r="AB571" s="7"/>
      <c r="AC571" s="7"/>
      <c r="AD571" s="7"/>
    </row>
    <row r="572" ht="15.75" customHeight="1">
      <c r="A572" s="6">
        <v>45132.0</v>
      </c>
      <c r="B572" s="7">
        <f t="shared" si="1"/>
        <v>25</v>
      </c>
      <c r="C572" s="7">
        <f t="shared" si="2"/>
        <v>7</v>
      </c>
      <c r="D572" s="7">
        <v>8915.89</v>
      </c>
      <c r="E572" s="7">
        <v>21072.0</v>
      </c>
      <c r="F572" s="7">
        <v>20730.0</v>
      </c>
      <c r="G572" s="7">
        <v>41802.0</v>
      </c>
      <c r="H572" s="7">
        <v>1442.66</v>
      </c>
      <c r="I572" s="7">
        <v>8001.0</v>
      </c>
      <c r="J572" s="7">
        <v>0.18</v>
      </c>
      <c r="K572" s="7">
        <v>6092.0</v>
      </c>
      <c r="L572" s="7">
        <v>2938.57</v>
      </c>
      <c r="M572" s="7">
        <v>4182.0</v>
      </c>
      <c r="N572" s="7">
        <v>0.703</v>
      </c>
      <c r="O572" s="8">
        <v>3737.0</v>
      </c>
      <c r="P572" s="7">
        <v>4059.74</v>
      </c>
      <c r="Q572" s="7">
        <v>2869510.0</v>
      </c>
      <c r="R572" s="7">
        <v>1.41</v>
      </c>
      <c r="S572" s="7">
        <v>9080.0</v>
      </c>
      <c r="T572" s="7">
        <v>254.03</v>
      </c>
      <c r="U572" s="7">
        <v>2200.0</v>
      </c>
      <c r="V572" s="7">
        <v>0.12</v>
      </c>
      <c r="W572" s="7">
        <v>1824.0</v>
      </c>
      <c r="X572" s="7">
        <v>220.89</v>
      </c>
      <c r="Y572" s="7">
        <v>162092.0</v>
      </c>
      <c r="Z572" s="7">
        <v>1.36</v>
      </c>
      <c r="AA572" s="7">
        <v>303.0</v>
      </c>
      <c r="AB572" s="7"/>
      <c r="AC572" s="7"/>
      <c r="AD572" s="7"/>
    </row>
    <row r="573" ht="15.75" customHeight="1">
      <c r="A573" s="6">
        <v>45133.0</v>
      </c>
      <c r="B573" s="7">
        <f t="shared" si="1"/>
        <v>26</v>
      </c>
      <c r="C573" s="7">
        <f t="shared" si="2"/>
        <v>7</v>
      </c>
      <c r="D573" s="7">
        <v>8634.79</v>
      </c>
      <c r="E573" s="7">
        <v>20812.0</v>
      </c>
      <c r="F573" s="7">
        <v>21649.0</v>
      </c>
      <c r="G573" s="7">
        <v>42461.0</v>
      </c>
      <c r="H573" s="7">
        <v>1326.98</v>
      </c>
      <c r="I573" s="7">
        <v>8114.0</v>
      </c>
      <c r="J573" s="7">
        <v>0.164</v>
      </c>
      <c r="K573" s="7">
        <v>6492.0</v>
      </c>
      <c r="L573" s="7">
        <v>2752.01</v>
      </c>
      <c r="M573" s="7">
        <v>4016.0</v>
      </c>
      <c r="N573" s="7">
        <v>0.685</v>
      </c>
      <c r="O573" s="8">
        <v>3759.0</v>
      </c>
      <c r="P573" s="7">
        <v>4009.72</v>
      </c>
      <c r="Q573" s="7">
        <v>2631042.0</v>
      </c>
      <c r="R573" s="7">
        <v>1.52</v>
      </c>
      <c r="S573" s="7">
        <v>9030.0</v>
      </c>
      <c r="T573" s="7">
        <v>309.16</v>
      </c>
      <c r="U573" s="7">
        <v>2399.0</v>
      </c>
      <c r="V573" s="7">
        <v>0.13</v>
      </c>
      <c r="W573" s="7">
        <v>1824.0</v>
      </c>
      <c r="X573" s="7">
        <v>236.92</v>
      </c>
      <c r="Y573" s="7">
        <v>169835.0</v>
      </c>
      <c r="Z573" s="7">
        <v>1.4</v>
      </c>
      <c r="AA573" s="7">
        <v>368.0</v>
      </c>
      <c r="AB573" s="7"/>
      <c r="AC573" s="7"/>
      <c r="AD573" s="7"/>
    </row>
    <row r="574" ht="15.75" customHeight="1">
      <c r="A574" s="6">
        <v>45134.0</v>
      </c>
      <c r="B574" s="7">
        <f t="shared" si="1"/>
        <v>27</v>
      </c>
      <c r="C574" s="7">
        <f t="shared" si="2"/>
        <v>7</v>
      </c>
      <c r="D574" s="7">
        <v>8301.75</v>
      </c>
      <c r="E574" s="7">
        <v>23569.0</v>
      </c>
      <c r="F574" s="7">
        <v>20982.0</v>
      </c>
      <c r="G574" s="7">
        <v>44551.0</v>
      </c>
      <c r="H574" s="7">
        <v>1196.05</v>
      </c>
      <c r="I574" s="7">
        <v>8718.0</v>
      </c>
      <c r="J574" s="7">
        <v>0.137</v>
      </c>
      <c r="K574" s="7">
        <v>6946.0</v>
      </c>
      <c r="L574" s="7">
        <v>2707.01</v>
      </c>
      <c r="M574" s="7">
        <v>3924.0</v>
      </c>
      <c r="N574" s="7">
        <v>0.69</v>
      </c>
      <c r="O574" s="8">
        <v>3734.0</v>
      </c>
      <c r="P574" s="7">
        <v>3852.81</v>
      </c>
      <c r="Q574" s="7">
        <v>2393619.0</v>
      </c>
      <c r="R574" s="7">
        <v>1.61</v>
      </c>
      <c r="S574" s="7">
        <v>8275.0</v>
      </c>
      <c r="T574" s="7">
        <v>302.01</v>
      </c>
      <c r="U574" s="7">
        <v>3423.0</v>
      </c>
      <c r="V574" s="7">
        <v>0.09</v>
      </c>
      <c r="W574" s="7">
        <v>1740.0</v>
      </c>
      <c r="X574" s="7">
        <v>243.87</v>
      </c>
      <c r="Y574" s="7">
        <v>187757.0</v>
      </c>
      <c r="Z574" s="7">
        <v>1.3</v>
      </c>
      <c r="AA574" s="7">
        <v>439.0</v>
      </c>
      <c r="AB574" s="7"/>
      <c r="AC574" s="7"/>
      <c r="AD574" s="7"/>
    </row>
    <row r="575" ht="15.75" customHeight="1">
      <c r="A575" s="6">
        <v>45135.0</v>
      </c>
      <c r="B575" s="7">
        <f t="shared" si="1"/>
        <v>28</v>
      </c>
      <c r="C575" s="7">
        <f t="shared" si="2"/>
        <v>7</v>
      </c>
      <c r="D575" s="7">
        <v>7776.91</v>
      </c>
      <c r="E575" s="7">
        <v>20682.0</v>
      </c>
      <c r="F575" s="7">
        <v>20971.0</v>
      </c>
      <c r="G575" s="7">
        <v>41653.0</v>
      </c>
      <c r="H575" s="7">
        <v>847.31</v>
      </c>
      <c r="I575" s="7">
        <v>7849.0</v>
      </c>
      <c r="J575" s="7">
        <v>0.108</v>
      </c>
      <c r="K575" s="7">
        <v>6530.0</v>
      </c>
      <c r="L575" s="7">
        <v>2699.81</v>
      </c>
      <c r="M575" s="7">
        <v>3914.0</v>
      </c>
      <c r="N575" s="7">
        <v>0.69</v>
      </c>
      <c r="O575" s="8">
        <v>3607.0</v>
      </c>
      <c r="P575" s="7">
        <v>3691.76</v>
      </c>
      <c r="Q575" s="7">
        <v>2293349.0</v>
      </c>
      <c r="R575" s="7">
        <v>1.61</v>
      </c>
      <c r="S575" s="7">
        <v>8183.0</v>
      </c>
      <c r="T575" s="7">
        <v>298.71</v>
      </c>
      <c r="U575" s="7">
        <v>4486.0</v>
      </c>
      <c r="V575" s="7">
        <v>0.07</v>
      </c>
      <c r="W575" s="7">
        <v>1808.0</v>
      </c>
      <c r="X575" s="7">
        <v>239.32</v>
      </c>
      <c r="Y575" s="7">
        <v>195300.0</v>
      </c>
      <c r="Z575" s="7">
        <v>1.23</v>
      </c>
      <c r="AA575" s="7">
        <v>450.0</v>
      </c>
      <c r="AB575" s="7"/>
      <c r="AC575" s="7"/>
      <c r="AD575" s="7"/>
    </row>
    <row r="576" ht="15.75" customHeight="1">
      <c r="A576" s="6">
        <v>45136.0</v>
      </c>
      <c r="B576" s="7">
        <f t="shared" si="1"/>
        <v>29</v>
      </c>
      <c r="C576" s="7">
        <f t="shared" si="2"/>
        <v>7</v>
      </c>
      <c r="D576" s="7">
        <v>7708.0</v>
      </c>
      <c r="E576" s="7">
        <v>18461.0</v>
      </c>
      <c r="F576" s="7">
        <v>21027.0</v>
      </c>
      <c r="G576" s="7">
        <v>39488.0</v>
      </c>
      <c r="H576" s="7">
        <v>784.81</v>
      </c>
      <c r="I576" s="7">
        <v>7834.0</v>
      </c>
      <c r="J576" s="7">
        <v>0.1</v>
      </c>
      <c r="K576" s="7">
        <v>6006.0</v>
      </c>
      <c r="L576" s="7">
        <v>2615.67</v>
      </c>
      <c r="M576" s="7">
        <v>4268.0</v>
      </c>
      <c r="N576" s="7">
        <v>0.613</v>
      </c>
      <c r="O576" s="8">
        <v>3772.0</v>
      </c>
      <c r="P576" s="7">
        <v>3861.44</v>
      </c>
      <c r="Q576" s="7">
        <v>2468237.0</v>
      </c>
      <c r="R576" s="7">
        <v>1.56</v>
      </c>
      <c r="S576" s="7">
        <v>9567.0</v>
      </c>
      <c r="T576" s="7">
        <v>209.64</v>
      </c>
      <c r="U576" s="7">
        <v>2676.0</v>
      </c>
      <c r="V576" s="7">
        <v>0.08</v>
      </c>
      <c r="W576" s="7">
        <v>1572.0</v>
      </c>
      <c r="X576" s="7">
        <v>236.44</v>
      </c>
      <c r="Y576" s="7">
        <v>177691.0</v>
      </c>
      <c r="Z576" s="7">
        <v>1.33</v>
      </c>
      <c r="AA576" s="7">
        <v>490.0</v>
      </c>
      <c r="AB576" s="7"/>
      <c r="AC576" s="7"/>
      <c r="AD576" s="7"/>
    </row>
    <row r="577" ht="15.75" customHeight="1">
      <c r="A577" s="6">
        <v>45137.0</v>
      </c>
      <c r="B577" s="7">
        <f t="shared" si="1"/>
        <v>30</v>
      </c>
      <c r="C577" s="7">
        <f t="shared" si="2"/>
        <v>7</v>
      </c>
      <c r="D577" s="7">
        <v>8530.42</v>
      </c>
      <c r="E577" s="7">
        <v>21653.0</v>
      </c>
      <c r="F577" s="7">
        <v>24116.0</v>
      </c>
      <c r="G577" s="7">
        <v>45769.0</v>
      </c>
      <c r="H577" s="7">
        <v>910.8</v>
      </c>
      <c r="I577" s="7">
        <v>8848.0</v>
      </c>
      <c r="J577" s="7">
        <v>0.103</v>
      </c>
      <c r="K577" s="7">
        <v>6681.0</v>
      </c>
      <c r="L577" s="7">
        <v>3120.17</v>
      </c>
      <c r="M577" s="7">
        <v>5457.0</v>
      </c>
      <c r="N577" s="7">
        <v>0.572</v>
      </c>
      <c r="O577" s="8">
        <v>4730.0</v>
      </c>
      <c r="P577" s="7">
        <v>4041.81</v>
      </c>
      <c r="Q577" s="7">
        <v>2777671.0</v>
      </c>
      <c r="R577" s="7">
        <v>1.46</v>
      </c>
      <c r="S577" s="7">
        <v>10487.0</v>
      </c>
      <c r="T577" s="7">
        <v>216.43</v>
      </c>
      <c r="U577" s="7">
        <v>2906.0</v>
      </c>
      <c r="V577" s="7">
        <v>0.07</v>
      </c>
      <c r="W577" s="7">
        <v>1652.0</v>
      </c>
      <c r="X577" s="7">
        <v>241.21</v>
      </c>
      <c r="Y577" s="7">
        <v>172591.0</v>
      </c>
      <c r="Z577" s="7">
        <v>1.4</v>
      </c>
      <c r="AA577" s="7">
        <v>564.0</v>
      </c>
      <c r="AB577" s="7"/>
      <c r="AC577" s="7"/>
      <c r="AD577" s="7"/>
    </row>
    <row r="578" ht="15.75" customHeight="1">
      <c r="A578" s="6">
        <v>45138.0</v>
      </c>
      <c r="B578" s="7">
        <f t="shared" si="1"/>
        <v>31</v>
      </c>
      <c r="C578" s="7">
        <f t="shared" si="2"/>
        <v>7</v>
      </c>
      <c r="D578" s="7">
        <v>8475.06</v>
      </c>
      <c r="E578" s="7">
        <v>24564.0</v>
      </c>
      <c r="F578" s="7">
        <v>24187.0</v>
      </c>
      <c r="G578" s="7">
        <v>48751.0</v>
      </c>
      <c r="H578" s="7">
        <v>1103.54</v>
      </c>
      <c r="I578" s="7">
        <v>9560.0</v>
      </c>
      <c r="J578" s="7">
        <v>0.115</v>
      </c>
      <c r="K578" s="7">
        <v>7544.0</v>
      </c>
      <c r="L578" s="7">
        <v>3021.2</v>
      </c>
      <c r="M578" s="7">
        <v>4909.0</v>
      </c>
      <c r="N578" s="7">
        <v>0.615</v>
      </c>
      <c r="O578" s="8">
        <v>4579.0</v>
      </c>
      <c r="P578" s="7">
        <v>3776.55</v>
      </c>
      <c r="Q578" s="7">
        <v>2916989.0</v>
      </c>
      <c r="R578" s="7">
        <v>1.29</v>
      </c>
      <c r="S578" s="7">
        <v>9891.0</v>
      </c>
      <c r="T578" s="7">
        <v>332.42</v>
      </c>
      <c r="U578" s="7">
        <v>4333.0</v>
      </c>
      <c r="V578" s="7">
        <v>0.08</v>
      </c>
      <c r="W578" s="7">
        <v>2051.0</v>
      </c>
      <c r="X578" s="7">
        <v>241.35</v>
      </c>
      <c r="Y578" s="7">
        <v>214163.0</v>
      </c>
      <c r="Z578" s="7">
        <v>1.13</v>
      </c>
      <c r="AA578" s="7">
        <v>527.0</v>
      </c>
      <c r="AB578" s="7"/>
      <c r="AC578" s="7"/>
      <c r="AD578" s="7"/>
    </row>
    <row r="579" ht="15.75" customHeight="1">
      <c r="A579" s="6">
        <v>45139.0</v>
      </c>
      <c r="B579" s="7">
        <f t="shared" si="1"/>
        <v>1</v>
      </c>
      <c r="C579" s="7">
        <f t="shared" si="2"/>
        <v>8</v>
      </c>
      <c r="D579" s="7">
        <v>7690.98</v>
      </c>
      <c r="E579" s="7">
        <v>24333.0</v>
      </c>
      <c r="F579" s="7">
        <v>23822.0</v>
      </c>
      <c r="G579" s="7">
        <v>48155.0</v>
      </c>
      <c r="H579" s="7">
        <v>1068.24</v>
      </c>
      <c r="I579" s="7">
        <v>9309.0</v>
      </c>
      <c r="J579" s="7">
        <v>0.115</v>
      </c>
      <c r="K579" s="7">
        <v>7504.0</v>
      </c>
      <c r="L579" s="7">
        <v>2848.5</v>
      </c>
      <c r="M579" s="7">
        <v>4598.0</v>
      </c>
      <c r="N579" s="7">
        <v>0.62</v>
      </c>
      <c r="O579" s="8">
        <v>4512.0</v>
      </c>
      <c r="P579" s="7">
        <v>3296.76</v>
      </c>
      <c r="Q579" s="7">
        <v>2671977.0</v>
      </c>
      <c r="R579" s="7">
        <v>1.23</v>
      </c>
      <c r="S579" s="7">
        <v>9604.0</v>
      </c>
      <c r="T579" s="7">
        <v>297.17</v>
      </c>
      <c r="U579" s="7">
        <v>5099.0</v>
      </c>
      <c r="V579" s="7">
        <v>0.06</v>
      </c>
      <c r="W579" s="7">
        <v>2025.0</v>
      </c>
      <c r="X579" s="7">
        <v>180.31</v>
      </c>
      <c r="Y579" s="7">
        <v>165044.0</v>
      </c>
      <c r="Z579" s="7">
        <v>1.09</v>
      </c>
      <c r="AA579" s="7">
        <v>445.0</v>
      </c>
      <c r="AB579" s="7"/>
      <c r="AC579" s="7"/>
      <c r="AD579" s="7"/>
    </row>
    <row r="580" ht="15.75" customHeight="1">
      <c r="A580" s="6">
        <v>45140.0</v>
      </c>
      <c r="B580" s="7">
        <f t="shared" si="1"/>
        <v>2</v>
      </c>
      <c r="C580" s="7">
        <f t="shared" si="2"/>
        <v>8</v>
      </c>
      <c r="D580" s="7">
        <v>6514.18</v>
      </c>
      <c r="E580" s="7">
        <v>23673.0</v>
      </c>
      <c r="F580" s="7">
        <v>21754.0</v>
      </c>
      <c r="G580" s="7">
        <v>45427.0</v>
      </c>
      <c r="H580" s="7">
        <v>1021.71</v>
      </c>
      <c r="I580" s="7">
        <v>9237.0</v>
      </c>
      <c r="J580" s="7">
        <v>0.111</v>
      </c>
      <c r="K580" s="7">
        <v>7390.0</v>
      </c>
      <c r="L580" s="7">
        <v>2582.63</v>
      </c>
      <c r="M580" s="7">
        <v>4433.0</v>
      </c>
      <c r="N580" s="7">
        <v>0.583</v>
      </c>
      <c r="O580" s="8">
        <v>4092.0</v>
      </c>
      <c r="P580" s="7">
        <v>2648.09</v>
      </c>
      <c r="Q580" s="7">
        <v>2037203.0</v>
      </c>
      <c r="R580" s="7">
        <v>1.3</v>
      </c>
      <c r="S580" s="7">
        <v>8687.0</v>
      </c>
      <c r="T580" s="7">
        <v>155.88</v>
      </c>
      <c r="U580" s="7">
        <v>2110.0</v>
      </c>
      <c r="V580" s="7">
        <v>0.07</v>
      </c>
      <c r="W580" s="7">
        <v>1210.0</v>
      </c>
      <c r="X580" s="7">
        <v>105.87</v>
      </c>
      <c r="Y580" s="7">
        <v>99246.0</v>
      </c>
      <c r="Z580" s="7">
        <v>1.07</v>
      </c>
      <c r="AA580" s="7">
        <v>286.0</v>
      </c>
      <c r="AB580" s="7"/>
      <c r="AC580" s="7"/>
      <c r="AD580" s="7"/>
    </row>
    <row r="581" ht="15.75" customHeight="1">
      <c r="A581" s="6">
        <v>45141.0</v>
      </c>
      <c r="B581" s="7">
        <f t="shared" si="1"/>
        <v>3</v>
      </c>
      <c r="C581" s="7">
        <f t="shared" si="2"/>
        <v>8</v>
      </c>
      <c r="D581" s="7">
        <v>5612.38</v>
      </c>
      <c r="E581" s="7">
        <v>22564.0</v>
      </c>
      <c r="F581" s="7">
        <v>20050.0</v>
      </c>
      <c r="G581" s="7">
        <v>42614.0</v>
      </c>
      <c r="H581" s="7">
        <v>876.52</v>
      </c>
      <c r="I581" s="7">
        <v>8804.0</v>
      </c>
      <c r="J581" s="7">
        <v>0.1</v>
      </c>
      <c r="K581" s="7">
        <v>7079.0</v>
      </c>
      <c r="L581" s="7">
        <v>2319.69</v>
      </c>
      <c r="M581" s="7">
        <v>4286.0</v>
      </c>
      <c r="N581" s="7">
        <v>0.541</v>
      </c>
      <c r="O581" s="8">
        <v>4074.0</v>
      </c>
      <c r="P581" s="7">
        <v>2370.57</v>
      </c>
      <c r="Q581" s="7">
        <v>1773659.0</v>
      </c>
      <c r="R581" s="7">
        <v>1.34</v>
      </c>
      <c r="S581" s="7">
        <v>8065.0</v>
      </c>
      <c r="T581" s="7">
        <v>0.03</v>
      </c>
      <c r="U581" s="7">
        <v>3.0</v>
      </c>
      <c r="V581" s="7">
        <v>0.01</v>
      </c>
      <c r="W581" s="7">
        <v>382.0</v>
      </c>
      <c r="X581" s="7">
        <v>45.57</v>
      </c>
      <c r="Y581" s="7">
        <v>36982.0</v>
      </c>
      <c r="Z581" s="7">
        <v>1.23</v>
      </c>
      <c r="AA581" s="7">
        <v>235.0</v>
      </c>
      <c r="AB581" s="7"/>
      <c r="AC581" s="7"/>
      <c r="AD581" s="7"/>
    </row>
    <row r="582" ht="15.75" customHeight="1">
      <c r="A582" s="6">
        <v>45142.0</v>
      </c>
      <c r="B582" s="7">
        <f t="shared" si="1"/>
        <v>4</v>
      </c>
      <c r="C582" s="7">
        <f t="shared" si="2"/>
        <v>8</v>
      </c>
      <c r="D582" s="7">
        <v>5251.75</v>
      </c>
      <c r="E582" s="7">
        <v>22314.0</v>
      </c>
      <c r="F582" s="7">
        <v>19249.0</v>
      </c>
      <c r="G582" s="7">
        <v>41563.0</v>
      </c>
      <c r="H582" s="7">
        <v>773.45</v>
      </c>
      <c r="I582" s="7">
        <v>8531.0</v>
      </c>
      <c r="J582" s="7">
        <v>0.091</v>
      </c>
      <c r="K582" s="7">
        <v>6664.0</v>
      </c>
      <c r="L582" s="7">
        <v>2053.02</v>
      </c>
      <c r="M582" s="7">
        <v>4003.0</v>
      </c>
      <c r="N582" s="7">
        <v>0.513</v>
      </c>
      <c r="O582" s="8">
        <v>3850.0</v>
      </c>
      <c r="P582" s="7">
        <v>2372.34</v>
      </c>
      <c r="Q582" s="7">
        <v>1848773.0</v>
      </c>
      <c r="R582" s="7">
        <v>1.28</v>
      </c>
      <c r="S582" s="7">
        <v>8114.0</v>
      </c>
      <c r="T582" s="7">
        <v>0.0</v>
      </c>
      <c r="U582" s="7">
        <v>0.0</v>
      </c>
      <c r="V582" s="7">
        <v>0.0</v>
      </c>
      <c r="W582" s="7">
        <v>345.0</v>
      </c>
      <c r="X582" s="7">
        <v>52.94</v>
      </c>
      <c r="Y582" s="7">
        <v>44142.0</v>
      </c>
      <c r="Z582" s="7">
        <v>1.2</v>
      </c>
      <c r="AA582" s="7">
        <v>185.0</v>
      </c>
      <c r="AB582" s="7"/>
      <c r="AC582" s="7"/>
      <c r="AD582" s="7"/>
    </row>
    <row r="583" ht="15.75" customHeight="1">
      <c r="A583" s="6">
        <v>45143.0</v>
      </c>
      <c r="B583" s="7">
        <f t="shared" si="1"/>
        <v>5</v>
      </c>
      <c r="C583" s="7">
        <f t="shared" si="2"/>
        <v>8</v>
      </c>
      <c r="D583" s="7">
        <v>5000.71</v>
      </c>
      <c r="E583" s="7">
        <v>20666.0</v>
      </c>
      <c r="F583" s="7">
        <v>19018.0</v>
      </c>
      <c r="G583" s="7">
        <v>39684.0</v>
      </c>
      <c r="H583" s="7">
        <v>647.55</v>
      </c>
      <c r="I583" s="7">
        <v>8070.0</v>
      </c>
      <c r="J583" s="7">
        <v>0.08</v>
      </c>
      <c r="K583" s="7">
        <v>6166.0</v>
      </c>
      <c r="L583" s="7">
        <v>1860.96</v>
      </c>
      <c r="M583" s="7">
        <v>3921.0</v>
      </c>
      <c r="N583" s="7">
        <v>0.475</v>
      </c>
      <c r="O583" s="8">
        <v>3482.0</v>
      </c>
      <c r="P583" s="7">
        <v>2440.75</v>
      </c>
      <c r="Q583" s="7">
        <v>1928969.0</v>
      </c>
      <c r="R583" s="7">
        <v>1.27</v>
      </c>
      <c r="S583" s="7">
        <v>8796.0</v>
      </c>
      <c r="T583" s="7">
        <v>0.0</v>
      </c>
      <c r="U583" s="7">
        <v>0.0</v>
      </c>
      <c r="V583" s="7">
        <v>0.0</v>
      </c>
      <c r="W583" s="7">
        <v>241.0</v>
      </c>
      <c r="X583" s="7">
        <v>51.45</v>
      </c>
      <c r="Y583" s="7">
        <v>40759.0</v>
      </c>
      <c r="Z583" s="7">
        <v>1.26</v>
      </c>
      <c r="AA583" s="7">
        <v>239.0</v>
      </c>
      <c r="AB583" s="7"/>
      <c r="AC583" s="7"/>
      <c r="AD583" s="7"/>
    </row>
    <row r="584" ht="15.75" customHeight="1">
      <c r="A584" s="6">
        <v>45144.0</v>
      </c>
      <c r="B584" s="7">
        <f t="shared" si="1"/>
        <v>6</v>
      </c>
      <c r="C584" s="7">
        <f t="shared" si="2"/>
        <v>8</v>
      </c>
      <c r="D584" s="7">
        <v>5095.1</v>
      </c>
      <c r="E584" s="7">
        <v>21456.0</v>
      </c>
      <c r="F584" s="7">
        <v>19370.0</v>
      </c>
      <c r="G584" s="7">
        <v>40826.0</v>
      </c>
      <c r="H584" s="7">
        <v>617.79</v>
      </c>
      <c r="I584" s="7">
        <v>8390.0</v>
      </c>
      <c r="J584" s="7">
        <v>0.074</v>
      </c>
      <c r="K584" s="7">
        <v>6584.0</v>
      </c>
      <c r="L584" s="7">
        <v>1924.01</v>
      </c>
      <c r="M584" s="7">
        <v>4372.0</v>
      </c>
      <c r="N584" s="7">
        <v>0.44</v>
      </c>
      <c r="O584" s="8">
        <v>3879.0</v>
      </c>
      <c r="P584" s="7">
        <v>2503.2</v>
      </c>
      <c r="Q584" s="7">
        <v>2066921.0</v>
      </c>
      <c r="R584" s="7">
        <v>1.21</v>
      </c>
      <c r="S584" s="7">
        <v>8881.0</v>
      </c>
      <c r="T584" s="7">
        <v>0.0</v>
      </c>
      <c r="U584" s="7">
        <v>0.0</v>
      </c>
      <c r="V584" s="7">
        <v>0.0</v>
      </c>
      <c r="W584" s="7">
        <v>228.0</v>
      </c>
      <c r="X584" s="7">
        <v>50.1</v>
      </c>
      <c r="Y584" s="7">
        <v>41205.0</v>
      </c>
      <c r="Z584" s="7">
        <v>1.22</v>
      </c>
      <c r="AA584" s="7">
        <v>247.0</v>
      </c>
      <c r="AB584" s="7"/>
      <c r="AC584" s="7"/>
      <c r="AD584" s="7"/>
    </row>
    <row r="585" ht="15.75" customHeight="1">
      <c r="A585" s="6">
        <v>45145.0</v>
      </c>
      <c r="B585" s="7">
        <f t="shared" si="1"/>
        <v>7</v>
      </c>
      <c r="C585" s="7">
        <f t="shared" si="2"/>
        <v>8</v>
      </c>
      <c r="D585" s="7">
        <v>5060.97</v>
      </c>
      <c r="E585" s="7">
        <v>23211.0</v>
      </c>
      <c r="F585" s="7">
        <v>19465.0</v>
      </c>
      <c r="G585" s="7">
        <v>42676.0</v>
      </c>
      <c r="H585" s="7">
        <v>824.46</v>
      </c>
      <c r="I585" s="7">
        <v>9059.0</v>
      </c>
      <c r="J585" s="7">
        <v>0.091</v>
      </c>
      <c r="K585" s="7">
        <v>7076.0</v>
      </c>
      <c r="L585" s="7">
        <v>1943.14</v>
      </c>
      <c r="M585" s="7">
        <v>4276.0</v>
      </c>
      <c r="N585" s="7">
        <v>0.454</v>
      </c>
      <c r="O585" s="8">
        <v>3970.0</v>
      </c>
      <c r="P585" s="7">
        <v>2243.22</v>
      </c>
      <c r="Q585" s="7">
        <v>1900942.0</v>
      </c>
      <c r="R585" s="7">
        <v>1.18</v>
      </c>
      <c r="S585" s="7">
        <v>7957.0</v>
      </c>
      <c r="T585" s="7">
        <v>0.0</v>
      </c>
      <c r="U585" s="7">
        <v>0.0</v>
      </c>
      <c r="V585" s="7">
        <v>0.0</v>
      </c>
      <c r="W585" s="7">
        <v>252.0</v>
      </c>
      <c r="X585" s="7">
        <v>50.15</v>
      </c>
      <c r="Y585" s="7">
        <v>48482.0</v>
      </c>
      <c r="Z585" s="7">
        <v>1.03</v>
      </c>
      <c r="AA585" s="7">
        <v>211.0</v>
      </c>
      <c r="AB585" s="7"/>
      <c r="AC585" s="7"/>
      <c r="AD585" s="7"/>
    </row>
    <row r="586" ht="15.75" customHeight="1">
      <c r="A586" s="6">
        <v>45146.0</v>
      </c>
      <c r="B586" s="7">
        <f t="shared" si="1"/>
        <v>8</v>
      </c>
      <c r="C586" s="7">
        <f t="shared" si="2"/>
        <v>8</v>
      </c>
      <c r="D586" s="7">
        <v>4516.94</v>
      </c>
      <c r="E586" s="7">
        <v>22262.0</v>
      </c>
      <c r="F586" s="7">
        <v>18239.0</v>
      </c>
      <c r="G586" s="7">
        <v>40501.0</v>
      </c>
      <c r="H586" s="7">
        <v>756.94</v>
      </c>
      <c r="I586" s="7">
        <v>8782.0</v>
      </c>
      <c r="J586" s="7">
        <v>0.086</v>
      </c>
      <c r="K586" s="7">
        <v>7109.0</v>
      </c>
      <c r="L586" s="7">
        <v>1730.08</v>
      </c>
      <c r="M586" s="7">
        <v>4073.0</v>
      </c>
      <c r="N586" s="7">
        <v>0.425</v>
      </c>
      <c r="O586" s="8">
        <v>3629.0</v>
      </c>
      <c r="P586" s="7">
        <v>1979.82</v>
      </c>
      <c r="Q586" s="7">
        <v>1630788.0</v>
      </c>
      <c r="R586" s="7">
        <v>1.21</v>
      </c>
      <c r="S586" s="7">
        <v>7314.0</v>
      </c>
      <c r="T586" s="7">
        <v>0.0</v>
      </c>
      <c r="U586" s="7">
        <v>0.0</v>
      </c>
      <c r="V586" s="7">
        <v>0.0</v>
      </c>
      <c r="W586" s="7">
        <v>249.0</v>
      </c>
      <c r="X586" s="7">
        <v>50.1</v>
      </c>
      <c r="Y586" s="7">
        <v>44425.0</v>
      </c>
      <c r="Z586" s="7">
        <v>1.13</v>
      </c>
      <c r="AA586" s="7">
        <v>169.0</v>
      </c>
      <c r="AB586" s="7"/>
      <c r="AC586" s="7"/>
      <c r="AD586" s="7"/>
    </row>
    <row r="587" ht="15.75" customHeight="1">
      <c r="A587" s="6">
        <v>45147.0</v>
      </c>
      <c r="B587" s="7">
        <f t="shared" si="1"/>
        <v>9</v>
      </c>
      <c r="C587" s="7">
        <f t="shared" si="2"/>
        <v>8</v>
      </c>
      <c r="D587" s="7">
        <v>4387.83</v>
      </c>
      <c r="E587" s="7">
        <v>21872.0</v>
      </c>
      <c r="F587" s="7">
        <v>17533.0</v>
      </c>
      <c r="G587" s="7">
        <v>39405.0</v>
      </c>
      <c r="H587" s="7">
        <v>813.54</v>
      </c>
      <c r="I587" s="7">
        <v>8679.0</v>
      </c>
      <c r="J587" s="7">
        <v>0.094</v>
      </c>
      <c r="K587" s="7">
        <v>6851.0</v>
      </c>
      <c r="L587" s="7">
        <v>1570.04</v>
      </c>
      <c r="M587" s="7">
        <v>3680.0</v>
      </c>
      <c r="N587" s="7">
        <v>0.427</v>
      </c>
      <c r="O587" s="8">
        <v>3404.0</v>
      </c>
      <c r="P587" s="7">
        <v>1954.1</v>
      </c>
      <c r="Q587" s="7">
        <v>1569734.0</v>
      </c>
      <c r="R587" s="7">
        <v>1.24</v>
      </c>
      <c r="S587" s="7">
        <v>7133.0</v>
      </c>
      <c r="T587" s="7">
        <v>0.0</v>
      </c>
      <c r="U587" s="7">
        <v>0.0</v>
      </c>
      <c r="V587" s="7">
        <v>0.0</v>
      </c>
      <c r="W587" s="7">
        <v>227.0</v>
      </c>
      <c r="X587" s="7">
        <v>50.15</v>
      </c>
      <c r="Y587" s="7">
        <v>40683.0</v>
      </c>
      <c r="Z587" s="7">
        <v>1.23</v>
      </c>
      <c r="AA587" s="7">
        <v>187.0</v>
      </c>
      <c r="AB587" s="7"/>
      <c r="AC587" s="7"/>
      <c r="AD587" s="7"/>
    </row>
    <row r="588" ht="15.75" customHeight="1">
      <c r="A588" s="6">
        <v>45148.0</v>
      </c>
      <c r="B588" s="7">
        <f t="shared" si="1"/>
        <v>10</v>
      </c>
      <c r="C588" s="7">
        <f t="shared" si="2"/>
        <v>8</v>
      </c>
      <c r="D588" s="7">
        <v>3845.64</v>
      </c>
      <c r="E588" s="7">
        <v>21222.0</v>
      </c>
      <c r="F588" s="7">
        <v>16375.0</v>
      </c>
      <c r="G588" s="7">
        <v>37597.0</v>
      </c>
      <c r="H588" s="7">
        <v>693.52</v>
      </c>
      <c r="I588" s="7">
        <v>8128.0</v>
      </c>
      <c r="J588" s="7">
        <v>0.085</v>
      </c>
      <c r="K588" s="7">
        <v>6557.0</v>
      </c>
      <c r="L588" s="7">
        <v>1197.0</v>
      </c>
      <c r="M588" s="7">
        <v>2957.0</v>
      </c>
      <c r="N588" s="7">
        <v>0.405</v>
      </c>
      <c r="O588" s="8">
        <v>2892.0</v>
      </c>
      <c r="P588" s="7">
        <v>1904.95</v>
      </c>
      <c r="Q588" s="7">
        <v>1493587.0</v>
      </c>
      <c r="R588" s="7">
        <v>1.28</v>
      </c>
      <c r="S588" s="7">
        <v>6643.0</v>
      </c>
      <c r="T588" s="7">
        <v>0.0</v>
      </c>
      <c r="U588" s="7">
        <v>0.0</v>
      </c>
      <c r="V588" s="7">
        <v>0.0</v>
      </c>
      <c r="W588" s="7">
        <v>199.0</v>
      </c>
      <c r="X588" s="7">
        <v>50.17</v>
      </c>
      <c r="Y588" s="7">
        <v>50348.0</v>
      </c>
      <c r="Z588" s="7">
        <v>1.0</v>
      </c>
      <c r="AA588" s="7">
        <v>161.0</v>
      </c>
      <c r="AB588" s="7"/>
      <c r="AC588" s="7"/>
      <c r="AD588" s="7"/>
    </row>
    <row r="589" ht="15.75" customHeight="1">
      <c r="A589" s="6">
        <v>45149.0</v>
      </c>
      <c r="B589" s="7">
        <f t="shared" si="1"/>
        <v>11</v>
      </c>
      <c r="C589" s="7">
        <f t="shared" si="2"/>
        <v>8</v>
      </c>
      <c r="D589" s="7">
        <v>3231.47</v>
      </c>
      <c r="E589" s="7">
        <v>19164.0</v>
      </c>
      <c r="F589" s="7">
        <v>13882.0</v>
      </c>
      <c r="G589" s="7">
        <v>33046.0</v>
      </c>
      <c r="H589" s="7">
        <v>620.13</v>
      </c>
      <c r="I589" s="7">
        <v>7514.0</v>
      </c>
      <c r="J589" s="7">
        <v>0.083</v>
      </c>
      <c r="K589" s="7">
        <v>5959.0</v>
      </c>
      <c r="L589" s="7">
        <v>1048.06</v>
      </c>
      <c r="M589" s="7">
        <v>2439.0</v>
      </c>
      <c r="N589" s="7">
        <v>0.43</v>
      </c>
      <c r="O589" s="8">
        <v>2357.0</v>
      </c>
      <c r="P589" s="7">
        <v>1513.31</v>
      </c>
      <c r="Q589" s="7">
        <v>1166499.0</v>
      </c>
      <c r="R589" s="7">
        <v>1.3</v>
      </c>
      <c r="S589" s="7">
        <v>5317.0</v>
      </c>
      <c r="T589" s="7">
        <v>0.0</v>
      </c>
      <c r="U589" s="7">
        <v>0.0</v>
      </c>
      <c r="V589" s="7">
        <v>0.0</v>
      </c>
      <c r="W589" s="7">
        <v>158.0</v>
      </c>
      <c r="X589" s="7">
        <v>49.97</v>
      </c>
      <c r="Y589" s="7">
        <v>43197.0</v>
      </c>
      <c r="Z589" s="7">
        <v>1.16</v>
      </c>
      <c r="AA589" s="7">
        <v>172.0</v>
      </c>
      <c r="AB589" s="7"/>
      <c r="AC589" s="7"/>
      <c r="AD589" s="7"/>
    </row>
    <row r="590" ht="15.75" customHeight="1">
      <c r="A590" s="6">
        <v>45150.0</v>
      </c>
      <c r="B590" s="7">
        <f t="shared" si="1"/>
        <v>12</v>
      </c>
      <c r="C590" s="7">
        <f t="shared" si="2"/>
        <v>8</v>
      </c>
      <c r="D590" s="7">
        <v>2926.1</v>
      </c>
      <c r="E590" s="7">
        <v>19026.0</v>
      </c>
      <c r="F590" s="7">
        <v>12897.0</v>
      </c>
      <c r="G590" s="7">
        <v>31923.0</v>
      </c>
      <c r="H590" s="7">
        <v>596.54</v>
      </c>
      <c r="I590" s="7">
        <v>7528.0</v>
      </c>
      <c r="J590" s="7">
        <v>0.079</v>
      </c>
      <c r="K590" s="7">
        <v>5789.0</v>
      </c>
      <c r="L590" s="7">
        <v>945.4</v>
      </c>
      <c r="M590" s="7">
        <v>2372.0</v>
      </c>
      <c r="N590" s="7">
        <v>0.399</v>
      </c>
      <c r="O590" s="8">
        <v>2197.0</v>
      </c>
      <c r="P590" s="7">
        <v>1334.92</v>
      </c>
      <c r="Q590" s="7">
        <v>1027428.0</v>
      </c>
      <c r="R590" s="7">
        <v>1.3</v>
      </c>
      <c r="S590" s="7">
        <v>4379.0</v>
      </c>
      <c r="T590" s="7">
        <v>0.0</v>
      </c>
      <c r="U590" s="7">
        <v>0.0</v>
      </c>
      <c r="V590" s="7">
        <v>0.0</v>
      </c>
      <c r="W590" s="7">
        <v>145.0</v>
      </c>
      <c r="X590" s="7">
        <v>49.24</v>
      </c>
      <c r="Y590" s="7">
        <v>41718.0</v>
      </c>
      <c r="Z590" s="7">
        <v>1.18</v>
      </c>
      <c r="AA590" s="7">
        <v>179.0</v>
      </c>
      <c r="AB590" s="7"/>
      <c r="AC590" s="7"/>
      <c r="AD590" s="7"/>
    </row>
    <row r="591" ht="15.75" customHeight="1">
      <c r="A591" s="6">
        <v>45151.0</v>
      </c>
      <c r="B591" s="7">
        <f t="shared" si="1"/>
        <v>13</v>
      </c>
      <c r="C591" s="7">
        <f t="shared" si="2"/>
        <v>8</v>
      </c>
      <c r="D591" s="7">
        <v>2513.32</v>
      </c>
      <c r="E591" s="7">
        <v>18370.0</v>
      </c>
      <c r="F591" s="7">
        <v>11988.0</v>
      </c>
      <c r="G591" s="7">
        <v>30358.0</v>
      </c>
      <c r="H591" s="7">
        <v>528.42</v>
      </c>
      <c r="I591" s="7">
        <v>7813.0</v>
      </c>
      <c r="J591" s="7">
        <v>0.068</v>
      </c>
      <c r="K591" s="7">
        <v>5855.0</v>
      </c>
      <c r="L591" s="7">
        <v>619.58</v>
      </c>
      <c r="M591" s="7">
        <v>1593.0</v>
      </c>
      <c r="N591" s="7">
        <v>0.389</v>
      </c>
      <c r="O591" s="8">
        <v>1608.0</v>
      </c>
      <c r="P591" s="7">
        <v>1315.27</v>
      </c>
      <c r="Q591" s="7">
        <v>1053020.0</v>
      </c>
      <c r="R591" s="7">
        <v>1.25</v>
      </c>
      <c r="S591" s="7">
        <v>4310.0</v>
      </c>
      <c r="T591" s="7">
        <v>0.0</v>
      </c>
      <c r="U591" s="7">
        <v>0.0</v>
      </c>
      <c r="V591" s="7">
        <v>0.0</v>
      </c>
      <c r="W591" s="7">
        <v>115.0</v>
      </c>
      <c r="X591" s="7">
        <v>50.05</v>
      </c>
      <c r="Y591" s="7">
        <v>49058.0</v>
      </c>
      <c r="Z591" s="7">
        <v>1.02</v>
      </c>
      <c r="AA591" s="7">
        <v>198.0</v>
      </c>
      <c r="AB591" s="7"/>
      <c r="AC591" s="7"/>
      <c r="AD591" s="7"/>
    </row>
    <row r="592" ht="15.75" customHeight="1">
      <c r="A592" s="6">
        <v>45152.0</v>
      </c>
      <c r="B592" s="7">
        <f t="shared" si="1"/>
        <v>14</v>
      </c>
      <c r="C592" s="7">
        <f t="shared" si="2"/>
        <v>8</v>
      </c>
      <c r="D592" s="7">
        <v>1935.0</v>
      </c>
      <c r="E592" s="7">
        <v>18583.0</v>
      </c>
      <c r="F592" s="7">
        <v>10328.0</v>
      </c>
      <c r="G592" s="7">
        <v>28911.0</v>
      </c>
      <c r="H592" s="7">
        <v>485.86</v>
      </c>
      <c r="I592" s="7">
        <v>7137.0</v>
      </c>
      <c r="J592" s="7">
        <v>0.068</v>
      </c>
      <c r="K592" s="7">
        <v>5659.0</v>
      </c>
      <c r="L592" s="7">
        <v>205.41</v>
      </c>
      <c r="M592" s="7">
        <v>526.0</v>
      </c>
      <c r="N592" s="7">
        <v>0.391</v>
      </c>
      <c r="O592" s="8">
        <v>694.0</v>
      </c>
      <c r="P592" s="7">
        <v>1193.57</v>
      </c>
      <c r="Q592" s="7">
        <v>1056731.0</v>
      </c>
      <c r="R592" s="7">
        <v>1.13</v>
      </c>
      <c r="S592" s="7">
        <v>3799.0</v>
      </c>
      <c r="T592" s="7">
        <v>0.0</v>
      </c>
      <c r="U592" s="7">
        <v>0.0</v>
      </c>
      <c r="V592" s="7">
        <v>0.0</v>
      </c>
      <c r="W592" s="7">
        <v>109.0</v>
      </c>
      <c r="X592" s="7">
        <v>50.16</v>
      </c>
      <c r="Y592" s="7">
        <v>46690.0</v>
      </c>
      <c r="Z592" s="7">
        <v>1.07</v>
      </c>
      <c r="AA592" s="7">
        <v>187.0</v>
      </c>
      <c r="AB592" s="7"/>
      <c r="AC592" s="7"/>
      <c r="AD592" s="7"/>
    </row>
    <row r="593" ht="15.75" customHeight="1">
      <c r="A593" s="6">
        <v>45153.0</v>
      </c>
      <c r="B593" s="7">
        <f t="shared" si="1"/>
        <v>15</v>
      </c>
      <c r="C593" s="7">
        <f t="shared" si="2"/>
        <v>8</v>
      </c>
      <c r="D593" s="7">
        <v>1920.49</v>
      </c>
      <c r="E593" s="7">
        <v>16376.0</v>
      </c>
      <c r="F593" s="7">
        <v>9773.0</v>
      </c>
      <c r="G593" s="7">
        <v>26149.0</v>
      </c>
      <c r="H593" s="7">
        <v>480.11</v>
      </c>
      <c r="I593" s="7">
        <v>6921.0</v>
      </c>
      <c r="J593" s="7">
        <v>0.069</v>
      </c>
      <c r="K593" s="7">
        <v>5246.0</v>
      </c>
      <c r="L593" s="7">
        <v>230.84</v>
      </c>
      <c r="M593" s="7">
        <v>542.0</v>
      </c>
      <c r="N593" s="7">
        <v>0.426</v>
      </c>
      <c r="O593" s="8">
        <v>641.0</v>
      </c>
      <c r="P593" s="7">
        <v>1159.47</v>
      </c>
      <c r="Q593" s="7">
        <v>1110454.0</v>
      </c>
      <c r="R593" s="7">
        <v>1.04</v>
      </c>
      <c r="S593" s="7">
        <v>3583.0</v>
      </c>
      <c r="T593" s="7">
        <v>0.0</v>
      </c>
      <c r="U593" s="7">
        <v>0.0</v>
      </c>
      <c r="V593" s="7">
        <v>0.0</v>
      </c>
      <c r="W593" s="7">
        <v>95.0</v>
      </c>
      <c r="X593" s="7">
        <v>50.07</v>
      </c>
      <c r="Y593" s="7">
        <v>42793.0</v>
      </c>
      <c r="Z593" s="7">
        <v>1.17</v>
      </c>
      <c r="AA593" s="7">
        <v>171.0</v>
      </c>
      <c r="AB593" s="7"/>
      <c r="AC593" s="7"/>
      <c r="AD593" s="7"/>
    </row>
    <row r="594" ht="15.75" customHeight="1">
      <c r="A594" s="6">
        <v>45154.0</v>
      </c>
      <c r="B594" s="7">
        <f t="shared" si="1"/>
        <v>16</v>
      </c>
      <c r="C594" s="7">
        <f t="shared" si="2"/>
        <v>8</v>
      </c>
      <c r="D594" s="7">
        <v>2060.65</v>
      </c>
      <c r="E594" s="7">
        <v>19449.0</v>
      </c>
      <c r="F594" s="7">
        <v>10678.0</v>
      </c>
      <c r="G594" s="7">
        <v>30127.0</v>
      </c>
      <c r="H594" s="7">
        <v>577.59</v>
      </c>
      <c r="I594" s="7">
        <v>8034.0</v>
      </c>
      <c r="J594" s="7">
        <v>0.072</v>
      </c>
      <c r="K594" s="7">
        <v>6205.0</v>
      </c>
      <c r="L594" s="7">
        <v>298.66</v>
      </c>
      <c r="M594" s="7">
        <v>675.0</v>
      </c>
      <c r="N594" s="7">
        <v>0.442</v>
      </c>
      <c r="O594" s="8">
        <v>818.0</v>
      </c>
      <c r="P594" s="7">
        <v>1134.29</v>
      </c>
      <c r="Q594" s="7">
        <v>1123371.0</v>
      </c>
      <c r="R594" s="7">
        <v>1.01</v>
      </c>
      <c r="S594" s="7">
        <v>3504.0</v>
      </c>
      <c r="T594" s="7">
        <v>0.0</v>
      </c>
      <c r="U594" s="7">
        <v>0.0</v>
      </c>
      <c r="V594" s="7">
        <v>0.0</v>
      </c>
      <c r="W594" s="7">
        <v>115.0</v>
      </c>
      <c r="X594" s="7">
        <v>50.11</v>
      </c>
      <c r="Y594" s="7">
        <v>49314.0</v>
      </c>
      <c r="Z594" s="7">
        <v>1.02</v>
      </c>
      <c r="AA594" s="7">
        <v>190.0</v>
      </c>
      <c r="AB594" s="7"/>
      <c r="AC594" s="7"/>
      <c r="AD594" s="7"/>
    </row>
    <row r="595" ht="15.75" customHeight="1">
      <c r="A595" s="6">
        <v>45155.0</v>
      </c>
      <c r="B595" s="7">
        <f t="shared" si="1"/>
        <v>17</v>
      </c>
      <c r="C595" s="7">
        <f t="shared" si="2"/>
        <v>8</v>
      </c>
      <c r="D595" s="7">
        <v>1990.57</v>
      </c>
      <c r="E595" s="7">
        <v>20483.0</v>
      </c>
      <c r="F595" s="7">
        <v>11007.0</v>
      </c>
      <c r="G595" s="7">
        <v>31490.0</v>
      </c>
      <c r="H595" s="7">
        <v>535.64</v>
      </c>
      <c r="I595" s="7">
        <v>8062.0</v>
      </c>
      <c r="J595" s="7">
        <v>0.066</v>
      </c>
      <c r="K595" s="7">
        <v>6402.0</v>
      </c>
      <c r="L595" s="7">
        <v>268.17</v>
      </c>
      <c r="M595" s="7">
        <v>604.0</v>
      </c>
      <c r="N595" s="7">
        <v>0.444</v>
      </c>
      <c r="O595" s="8">
        <v>751.0</v>
      </c>
      <c r="P595" s="7">
        <v>1136.82</v>
      </c>
      <c r="Q595" s="7">
        <v>1128220.0</v>
      </c>
      <c r="R595" s="7">
        <v>1.01</v>
      </c>
      <c r="S595" s="7">
        <v>3765.0</v>
      </c>
      <c r="T595" s="7">
        <v>0.0</v>
      </c>
      <c r="U595" s="7">
        <v>0.0</v>
      </c>
      <c r="V595" s="7">
        <v>0.0</v>
      </c>
      <c r="W595" s="7">
        <v>141.0</v>
      </c>
      <c r="X595" s="7">
        <v>49.94</v>
      </c>
      <c r="Y595" s="7">
        <v>43086.0</v>
      </c>
      <c r="Z595" s="7">
        <v>1.16</v>
      </c>
      <c r="AA595" s="7">
        <v>171.0</v>
      </c>
      <c r="AB595" s="7"/>
      <c r="AC595" s="7"/>
      <c r="AD595" s="7"/>
    </row>
    <row r="596" ht="15.75" customHeight="1">
      <c r="A596" s="6">
        <v>45156.0</v>
      </c>
      <c r="B596" s="7">
        <f t="shared" si="1"/>
        <v>18</v>
      </c>
      <c r="C596" s="7">
        <f t="shared" si="2"/>
        <v>8</v>
      </c>
      <c r="D596" s="7">
        <v>2351.72</v>
      </c>
      <c r="E596" s="7">
        <v>20653.0</v>
      </c>
      <c r="F596" s="7">
        <v>11741.0</v>
      </c>
      <c r="G596" s="7">
        <v>32394.0</v>
      </c>
      <c r="H596" s="7">
        <v>532.81</v>
      </c>
      <c r="I596" s="7">
        <v>7818.0</v>
      </c>
      <c r="J596" s="7">
        <v>0.068</v>
      </c>
      <c r="K596" s="7">
        <v>6415.0</v>
      </c>
      <c r="L596" s="7">
        <v>595.6</v>
      </c>
      <c r="M596" s="7">
        <v>1393.0</v>
      </c>
      <c r="N596" s="7">
        <v>0.428</v>
      </c>
      <c r="O596" s="8">
        <v>1356.0</v>
      </c>
      <c r="P596" s="7">
        <v>1173.34</v>
      </c>
      <c r="Q596" s="7">
        <v>1145953.0</v>
      </c>
      <c r="R596" s="7">
        <v>1.02</v>
      </c>
      <c r="S596" s="7">
        <v>3671.0</v>
      </c>
      <c r="T596" s="7">
        <v>0.0</v>
      </c>
      <c r="U596" s="7">
        <v>0.0</v>
      </c>
      <c r="V596" s="7">
        <v>0.0</v>
      </c>
      <c r="W596" s="7">
        <v>106.0</v>
      </c>
      <c r="X596" s="7">
        <v>49.97</v>
      </c>
      <c r="Y596" s="7">
        <v>42793.0</v>
      </c>
      <c r="Z596" s="7">
        <v>1.17</v>
      </c>
      <c r="AA596" s="7">
        <v>179.0</v>
      </c>
      <c r="AB596" s="7"/>
      <c r="AC596" s="7"/>
      <c r="AD596" s="7"/>
    </row>
    <row r="597" ht="15.75" customHeight="1">
      <c r="A597" s="6">
        <v>45157.0</v>
      </c>
      <c r="B597" s="7">
        <f t="shared" si="1"/>
        <v>19</v>
      </c>
      <c r="C597" s="7">
        <f t="shared" si="2"/>
        <v>8</v>
      </c>
      <c r="D597" s="7">
        <v>2466.19</v>
      </c>
      <c r="E597" s="7">
        <v>17725.0</v>
      </c>
      <c r="F597" s="7">
        <v>11279.0</v>
      </c>
      <c r="G597" s="7">
        <v>29004.0</v>
      </c>
      <c r="H597" s="7">
        <v>424.68</v>
      </c>
      <c r="I597" s="7">
        <v>7054.0</v>
      </c>
      <c r="J597" s="7">
        <v>0.06</v>
      </c>
      <c r="K597" s="7">
        <v>5407.0</v>
      </c>
      <c r="L597" s="7">
        <v>719.74</v>
      </c>
      <c r="M597" s="7">
        <v>1780.0</v>
      </c>
      <c r="N597" s="7">
        <v>0.404</v>
      </c>
      <c r="O597" s="8">
        <v>1615.0</v>
      </c>
      <c r="P597" s="7">
        <v>1272.07</v>
      </c>
      <c r="Q597" s="7">
        <v>1192075.0</v>
      </c>
      <c r="R597" s="7">
        <v>1.07</v>
      </c>
      <c r="S597" s="7">
        <v>3913.0</v>
      </c>
      <c r="T597" s="7">
        <v>0.0</v>
      </c>
      <c r="U597" s="7">
        <v>0.0</v>
      </c>
      <c r="V597" s="7">
        <v>0.0</v>
      </c>
      <c r="W597" s="7">
        <v>103.0</v>
      </c>
      <c r="X597" s="7">
        <v>49.7</v>
      </c>
      <c r="Y597" s="7">
        <v>41356.0</v>
      </c>
      <c r="Z597" s="7">
        <v>1.2</v>
      </c>
      <c r="AA597" s="7">
        <v>185.0</v>
      </c>
      <c r="AB597" s="7"/>
      <c r="AC597" s="7"/>
      <c r="AD597" s="7"/>
    </row>
    <row r="598" ht="15.75" customHeight="1">
      <c r="A598" s="6">
        <v>45158.0</v>
      </c>
      <c r="B598" s="7">
        <f t="shared" si="1"/>
        <v>20</v>
      </c>
      <c r="C598" s="7">
        <f t="shared" si="2"/>
        <v>8</v>
      </c>
      <c r="D598" s="7">
        <v>3004.39</v>
      </c>
      <c r="E598" s="7">
        <v>19020.0</v>
      </c>
      <c r="F598" s="7">
        <v>13911.0</v>
      </c>
      <c r="G598" s="7">
        <v>32931.0</v>
      </c>
      <c r="H598" s="7">
        <v>469.71</v>
      </c>
      <c r="I598" s="7">
        <v>7687.0</v>
      </c>
      <c r="J598" s="7">
        <v>0.061</v>
      </c>
      <c r="K598" s="7">
        <v>5999.0</v>
      </c>
      <c r="L598" s="7">
        <v>1001.05</v>
      </c>
      <c r="M598" s="7">
        <v>2595.0</v>
      </c>
      <c r="N598" s="7">
        <v>0.386</v>
      </c>
      <c r="O598" s="8">
        <v>2343.0</v>
      </c>
      <c r="P598" s="7">
        <v>1483.84</v>
      </c>
      <c r="Q598" s="7">
        <v>1494672.0</v>
      </c>
      <c r="R598" s="7">
        <v>0.99</v>
      </c>
      <c r="S598" s="7">
        <v>5149.0</v>
      </c>
      <c r="T598" s="7">
        <v>0.0</v>
      </c>
      <c r="U598" s="7">
        <v>0.0</v>
      </c>
      <c r="V598" s="7">
        <v>0.0</v>
      </c>
      <c r="W598" s="7">
        <v>98.0</v>
      </c>
      <c r="X598" s="7">
        <v>49.79</v>
      </c>
      <c r="Y598" s="7">
        <v>42119.0</v>
      </c>
      <c r="Z598" s="7">
        <v>1.18</v>
      </c>
      <c r="AA598" s="7">
        <v>205.0</v>
      </c>
      <c r="AB598" s="7"/>
      <c r="AC598" s="7"/>
      <c r="AD598" s="7"/>
    </row>
    <row r="599" ht="15.75" customHeight="1">
      <c r="A599" s="6">
        <v>45159.0</v>
      </c>
      <c r="B599" s="7">
        <f t="shared" si="1"/>
        <v>21</v>
      </c>
      <c r="C599" s="7">
        <f t="shared" si="2"/>
        <v>8</v>
      </c>
      <c r="D599" s="7">
        <v>3500.73</v>
      </c>
      <c r="E599" s="7">
        <v>22789.0</v>
      </c>
      <c r="F599" s="7">
        <v>15085.0</v>
      </c>
      <c r="G599" s="7">
        <v>37874.0</v>
      </c>
      <c r="H599" s="7">
        <v>545.84</v>
      </c>
      <c r="I599" s="7">
        <v>8417.0</v>
      </c>
      <c r="J599" s="7">
        <v>0.065</v>
      </c>
      <c r="K599" s="7">
        <v>6747.0</v>
      </c>
      <c r="L599" s="7">
        <v>1237.14</v>
      </c>
      <c r="M599" s="7">
        <v>3168.0</v>
      </c>
      <c r="N599" s="7">
        <v>0.391</v>
      </c>
      <c r="O599" s="8">
        <v>2878.0</v>
      </c>
      <c r="P599" s="7">
        <v>1667.47</v>
      </c>
      <c r="Q599" s="7">
        <v>1718589.0</v>
      </c>
      <c r="R599" s="7">
        <v>0.97</v>
      </c>
      <c r="S599" s="7">
        <v>5368.0</v>
      </c>
      <c r="T599" s="7">
        <v>0.0</v>
      </c>
      <c r="U599" s="7">
        <v>0.0</v>
      </c>
      <c r="V599" s="7">
        <v>0.0</v>
      </c>
      <c r="W599" s="7">
        <v>193.0</v>
      </c>
      <c r="X599" s="7">
        <v>50.28</v>
      </c>
      <c r="Y599" s="7">
        <v>43552.0</v>
      </c>
      <c r="Z599" s="7">
        <v>1.15</v>
      </c>
      <c r="AA599" s="7">
        <v>184.0</v>
      </c>
      <c r="AB599" s="7"/>
      <c r="AC599" s="7"/>
      <c r="AD599" s="7"/>
    </row>
    <row r="600" ht="15.75" customHeight="1">
      <c r="A600" s="6">
        <v>45160.0</v>
      </c>
      <c r="B600" s="7">
        <f t="shared" si="1"/>
        <v>22</v>
      </c>
      <c r="C600" s="7">
        <f t="shared" si="2"/>
        <v>8</v>
      </c>
      <c r="D600" s="7">
        <v>4017.93</v>
      </c>
      <c r="E600" s="7">
        <v>22454.0</v>
      </c>
      <c r="F600" s="7">
        <v>16878.0</v>
      </c>
      <c r="G600" s="7">
        <v>39332.0</v>
      </c>
      <c r="H600" s="7">
        <v>544.81</v>
      </c>
      <c r="I600" s="7">
        <v>8770.0</v>
      </c>
      <c r="J600" s="7">
        <v>0.062</v>
      </c>
      <c r="K600" s="7">
        <v>7022.0</v>
      </c>
      <c r="L600" s="7">
        <v>1323.25</v>
      </c>
      <c r="M600" s="7">
        <v>3390.0</v>
      </c>
      <c r="N600" s="7">
        <v>0.39</v>
      </c>
      <c r="O600" s="8">
        <v>3169.0</v>
      </c>
      <c r="P600" s="7">
        <v>2099.8</v>
      </c>
      <c r="Q600" s="7">
        <v>1975399.0</v>
      </c>
      <c r="R600" s="7">
        <v>1.06</v>
      </c>
      <c r="S600" s="7">
        <v>6221.0</v>
      </c>
      <c r="T600" s="7">
        <v>0.0</v>
      </c>
      <c r="U600" s="7">
        <v>0.0</v>
      </c>
      <c r="V600" s="7">
        <v>0.0</v>
      </c>
      <c r="W600" s="7">
        <v>165.0</v>
      </c>
      <c r="X600" s="7">
        <v>50.07</v>
      </c>
      <c r="Y600" s="7">
        <v>43724.0</v>
      </c>
      <c r="Z600" s="7">
        <v>1.15</v>
      </c>
      <c r="AA600" s="7">
        <v>130.0</v>
      </c>
      <c r="AB600" s="7"/>
      <c r="AC600" s="7"/>
      <c r="AD600" s="7"/>
    </row>
    <row r="601" ht="15.75" customHeight="1">
      <c r="A601" s="6">
        <v>45161.0</v>
      </c>
      <c r="B601" s="7">
        <f t="shared" si="1"/>
        <v>23</v>
      </c>
      <c r="C601" s="7">
        <f t="shared" si="2"/>
        <v>8</v>
      </c>
      <c r="D601" s="7">
        <v>4082.71</v>
      </c>
      <c r="E601" s="7">
        <v>21554.0</v>
      </c>
      <c r="F601" s="7">
        <v>16161.0</v>
      </c>
      <c r="G601" s="7">
        <v>37715.0</v>
      </c>
      <c r="H601" s="7">
        <v>534.16</v>
      </c>
      <c r="I601" s="7">
        <v>8193.0</v>
      </c>
      <c r="J601" s="7">
        <v>0.065</v>
      </c>
      <c r="K601" s="7">
        <v>6706.0</v>
      </c>
      <c r="L601" s="7">
        <v>1281.14</v>
      </c>
      <c r="M601" s="7">
        <v>3358.0</v>
      </c>
      <c r="N601" s="7">
        <v>0.382</v>
      </c>
      <c r="O601" s="8">
        <v>3099.0</v>
      </c>
      <c r="P601" s="7">
        <v>2217.35</v>
      </c>
      <c r="Q601" s="7">
        <v>1939852.0</v>
      </c>
      <c r="R601" s="7">
        <v>1.14</v>
      </c>
      <c r="S601" s="7">
        <v>6020.0</v>
      </c>
      <c r="T601" s="7">
        <v>0.0</v>
      </c>
      <c r="U601" s="7">
        <v>0.0</v>
      </c>
      <c r="V601" s="7">
        <v>0.0</v>
      </c>
      <c r="W601" s="7">
        <v>150.0</v>
      </c>
      <c r="X601" s="7">
        <v>50.06</v>
      </c>
      <c r="Y601" s="7">
        <v>39221.0</v>
      </c>
      <c r="Z601" s="7">
        <v>1.28</v>
      </c>
      <c r="AA601" s="7">
        <v>132.0</v>
      </c>
      <c r="AB601" s="7"/>
      <c r="AC601" s="7"/>
      <c r="AD601" s="7"/>
    </row>
    <row r="602" ht="15.75" customHeight="1">
      <c r="A602" s="6">
        <v>45162.0</v>
      </c>
      <c r="B602" s="7">
        <f t="shared" si="1"/>
        <v>24</v>
      </c>
      <c r="C602" s="7">
        <f t="shared" si="2"/>
        <v>8</v>
      </c>
      <c r="D602" s="7">
        <v>3917.54</v>
      </c>
      <c r="E602" s="7">
        <v>20597.0</v>
      </c>
      <c r="F602" s="7">
        <v>15331.0</v>
      </c>
      <c r="G602" s="7">
        <v>35928.0</v>
      </c>
      <c r="H602" s="7">
        <v>492.02</v>
      </c>
      <c r="I602" s="7">
        <v>7742.0</v>
      </c>
      <c r="J602" s="7">
        <v>0.064</v>
      </c>
      <c r="K602" s="7">
        <v>6280.0</v>
      </c>
      <c r="L602" s="7">
        <v>1319.14</v>
      </c>
      <c r="M602" s="7">
        <v>3446.0</v>
      </c>
      <c r="N602" s="7">
        <v>0.383</v>
      </c>
      <c r="O602" s="8">
        <v>3152.0</v>
      </c>
      <c r="P602" s="7">
        <v>2056.36</v>
      </c>
      <c r="Q602" s="7">
        <v>1812503.0</v>
      </c>
      <c r="R602" s="7">
        <v>1.13</v>
      </c>
      <c r="S602" s="7">
        <v>5807.0</v>
      </c>
      <c r="T602" s="7">
        <v>0.0</v>
      </c>
      <c r="U602" s="7">
        <v>0.0</v>
      </c>
      <c r="V602" s="7">
        <v>0.0</v>
      </c>
      <c r="W602" s="7">
        <v>144.0</v>
      </c>
      <c r="X602" s="7">
        <v>50.02</v>
      </c>
      <c r="Y602" s="7">
        <v>42286.0</v>
      </c>
      <c r="Z602" s="7">
        <v>1.18</v>
      </c>
      <c r="AA602" s="7">
        <v>138.0</v>
      </c>
      <c r="AB602" s="7"/>
      <c r="AC602" s="7"/>
      <c r="AD602" s="7"/>
    </row>
    <row r="603" ht="15.75" customHeight="1">
      <c r="A603" s="6">
        <v>45163.0</v>
      </c>
      <c r="B603" s="7">
        <f t="shared" si="1"/>
        <v>25</v>
      </c>
      <c r="C603" s="7">
        <f t="shared" si="2"/>
        <v>8</v>
      </c>
      <c r="D603" s="7">
        <v>3912.05</v>
      </c>
      <c r="E603" s="7">
        <v>20299.0</v>
      </c>
      <c r="F603" s="7">
        <v>14063.0</v>
      </c>
      <c r="G603" s="7">
        <v>34362.0</v>
      </c>
      <c r="H603" s="7">
        <v>404.36</v>
      </c>
      <c r="I603" s="7">
        <v>7180.0</v>
      </c>
      <c r="J603" s="7">
        <v>0.056</v>
      </c>
      <c r="K603" s="7">
        <v>5578.0</v>
      </c>
      <c r="L603" s="7">
        <v>1302.5</v>
      </c>
      <c r="M603" s="7">
        <v>3350.0</v>
      </c>
      <c r="N603" s="7">
        <v>0.389</v>
      </c>
      <c r="O603" s="8">
        <v>2937.0</v>
      </c>
      <c r="P603" s="7">
        <v>2155.18</v>
      </c>
      <c r="Q603" s="7">
        <v>1849583.0</v>
      </c>
      <c r="R603" s="7">
        <v>1.17</v>
      </c>
      <c r="S603" s="7">
        <v>5368.0</v>
      </c>
      <c r="T603" s="7">
        <v>0.0</v>
      </c>
      <c r="U603" s="7">
        <v>0.0</v>
      </c>
      <c r="V603" s="7">
        <v>0.0</v>
      </c>
      <c r="W603" s="7">
        <v>127.0</v>
      </c>
      <c r="X603" s="7">
        <v>50.01</v>
      </c>
      <c r="Y603" s="7">
        <v>41669.0</v>
      </c>
      <c r="Z603" s="7">
        <v>1.2</v>
      </c>
      <c r="AA603" s="7">
        <v>120.0</v>
      </c>
      <c r="AB603" s="7"/>
      <c r="AC603" s="7"/>
      <c r="AD603" s="7"/>
    </row>
    <row r="604" ht="15.75" customHeight="1">
      <c r="A604" s="6">
        <v>45164.0</v>
      </c>
      <c r="B604" s="7">
        <f t="shared" si="1"/>
        <v>26</v>
      </c>
      <c r="C604" s="7">
        <f t="shared" si="2"/>
        <v>8</v>
      </c>
      <c r="D604" s="7">
        <v>4038.17</v>
      </c>
      <c r="E604" s="7">
        <v>17918.0</v>
      </c>
      <c r="F604" s="7">
        <v>14348.0</v>
      </c>
      <c r="G604" s="7">
        <v>32266.0</v>
      </c>
      <c r="H604" s="7">
        <v>376.11</v>
      </c>
      <c r="I604" s="7">
        <v>6593.0</v>
      </c>
      <c r="J604" s="7">
        <v>0.057</v>
      </c>
      <c r="K604" s="7">
        <v>5157.0</v>
      </c>
      <c r="L604" s="7">
        <v>1319.72</v>
      </c>
      <c r="M604" s="7">
        <v>3436.0</v>
      </c>
      <c r="N604" s="7">
        <v>0.384</v>
      </c>
      <c r="O604" s="8">
        <v>2944.0</v>
      </c>
      <c r="P604" s="7">
        <v>2293.38</v>
      </c>
      <c r="Q604" s="7">
        <v>1979868.0</v>
      </c>
      <c r="R604" s="7">
        <v>1.16</v>
      </c>
      <c r="S604" s="7">
        <v>6039.0</v>
      </c>
      <c r="T604" s="7">
        <v>0.0</v>
      </c>
      <c r="U604" s="7">
        <v>0.0</v>
      </c>
      <c r="V604" s="7">
        <v>0.0</v>
      </c>
      <c r="W604" s="7">
        <v>123.0</v>
      </c>
      <c r="X604" s="7">
        <v>48.96</v>
      </c>
      <c r="Y604" s="7">
        <v>44818.0</v>
      </c>
      <c r="Z604" s="7">
        <v>1.09</v>
      </c>
      <c r="AA604" s="7">
        <v>168.0</v>
      </c>
      <c r="AB604" s="7"/>
      <c r="AC604" s="7"/>
      <c r="AD604" s="7"/>
    </row>
    <row r="605" ht="15.75" customHeight="1">
      <c r="A605" s="6">
        <v>45165.0</v>
      </c>
      <c r="B605" s="7">
        <f t="shared" si="1"/>
        <v>27</v>
      </c>
      <c r="C605" s="7">
        <f t="shared" si="2"/>
        <v>8</v>
      </c>
      <c r="D605" s="7">
        <v>4675.77</v>
      </c>
      <c r="E605" s="7">
        <v>20101.0</v>
      </c>
      <c r="F605" s="7">
        <v>16765.0</v>
      </c>
      <c r="G605" s="7">
        <v>36866.0</v>
      </c>
      <c r="H605" s="7">
        <v>415.51</v>
      </c>
      <c r="I605" s="7">
        <v>7726.0</v>
      </c>
      <c r="J605" s="7">
        <v>0.054</v>
      </c>
      <c r="K605" s="7">
        <v>6010.0</v>
      </c>
      <c r="L605" s="7">
        <v>1671.17</v>
      </c>
      <c r="M605" s="7">
        <v>4259.0</v>
      </c>
      <c r="N605" s="7">
        <v>0.392</v>
      </c>
      <c r="O605" s="8">
        <v>3666.0</v>
      </c>
      <c r="P605" s="7">
        <v>2539.01</v>
      </c>
      <c r="Q605" s="7">
        <v>2225402.0</v>
      </c>
      <c r="R605" s="7">
        <v>1.14</v>
      </c>
      <c r="S605" s="7">
        <v>7078.0</v>
      </c>
      <c r="T605" s="7">
        <v>0.0</v>
      </c>
      <c r="U605" s="7">
        <v>0.0</v>
      </c>
      <c r="V605" s="7">
        <v>0.0</v>
      </c>
      <c r="W605" s="7">
        <v>134.0</v>
      </c>
      <c r="X605" s="7">
        <v>50.08</v>
      </c>
      <c r="Y605" s="7">
        <v>48897.0</v>
      </c>
      <c r="Z605" s="7">
        <v>1.02</v>
      </c>
      <c r="AA605" s="7">
        <v>177.0</v>
      </c>
      <c r="AB605" s="7"/>
      <c r="AC605" s="7"/>
      <c r="AD605" s="7"/>
    </row>
    <row r="606" ht="15.75" customHeight="1">
      <c r="A606" s="6">
        <v>45166.0</v>
      </c>
      <c r="B606" s="7">
        <f t="shared" si="1"/>
        <v>28</v>
      </c>
      <c r="C606" s="7">
        <f t="shared" si="2"/>
        <v>8</v>
      </c>
      <c r="D606" s="7">
        <v>4772.43</v>
      </c>
      <c r="E606" s="7">
        <v>20968.0</v>
      </c>
      <c r="F606" s="7">
        <v>16597.0</v>
      </c>
      <c r="G606" s="7">
        <v>37565.0</v>
      </c>
      <c r="H606" s="7">
        <v>557.91</v>
      </c>
      <c r="I606" s="7">
        <v>7977.0</v>
      </c>
      <c r="J606" s="7">
        <v>0.07</v>
      </c>
      <c r="K606" s="7">
        <v>6591.0</v>
      </c>
      <c r="L606" s="7">
        <v>1722.51</v>
      </c>
      <c r="M606" s="7">
        <v>3957.0</v>
      </c>
      <c r="N606" s="7">
        <v>0.435</v>
      </c>
      <c r="O606" s="8">
        <v>3461.0</v>
      </c>
      <c r="P606" s="7">
        <v>2441.94</v>
      </c>
      <c r="Q606" s="7">
        <v>2135106.0</v>
      </c>
      <c r="R606" s="7">
        <v>1.14</v>
      </c>
      <c r="S606" s="7">
        <v>6424.0</v>
      </c>
      <c r="T606" s="7">
        <v>0.0</v>
      </c>
      <c r="U606" s="7">
        <v>0.0</v>
      </c>
      <c r="V606" s="7">
        <v>0.0</v>
      </c>
      <c r="W606" s="7">
        <v>203.0</v>
      </c>
      <c r="X606" s="7">
        <v>50.07</v>
      </c>
      <c r="Y606" s="7">
        <v>50455.0</v>
      </c>
      <c r="Z606" s="7">
        <v>0.99</v>
      </c>
      <c r="AA606" s="7">
        <v>155.0</v>
      </c>
      <c r="AB606" s="7"/>
      <c r="AC606" s="7"/>
      <c r="AD606" s="7"/>
    </row>
    <row r="607" ht="15.75" customHeight="1">
      <c r="A607" s="6">
        <v>45167.0</v>
      </c>
      <c r="B607" s="7">
        <f t="shared" si="1"/>
        <v>29</v>
      </c>
      <c r="C607" s="7">
        <f t="shared" si="2"/>
        <v>8</v>
      </c>
      <c r="D607" s="7">
        <v>4686.59</v>
      </c>
      <c r="E607" s="7">
        <v>20832.0</v>
      </c>
      <c r="F607" s="7">
        <v>16616.0</v>
      </c>
      <c r="G607" s="7">
        <v>37448.0</v>
      </c>
      <c r="H607" s="7">
        <v>580.47</v>
      </c>
      <c r="I607" s="7">
        <v>7823.0</v>
      </c>
      <c r="J607" s="7">
        <v>0.074</v>
      </c>
      <c r="K607" s="7">
        <v>6268.0</v>
      </c>
      <c r="L607" s="7">
        <v>1627.68</v>
      </c>
      <c r="M607" s="7">
        <v>3700.0</v>
      </c>
      <c r="N607" s="7">
        <v>0.44</v>
      </c>
      <c r="O607" s="8">
        <v>3392.0</v>
      </c>
      <c r="P607" s="7">
        <v>2428.36</v>
      </c>
      <c r="Q607" s="7">
        <v>2037730.0</v>
      </c>
      <c r="R607" s="7">
        <v>1.19</v>
      </c>
      <c r="S607" s="7">
        <v>7122.0</v>
      </c>
      <c r="T607" s="7">
        <v>0.0</v>
      </c>
      <c r="U607" s="7">
        <v>0.0</v>
      </c>
      <c r="V607" s="7">
        <v>0.0</v>
      </c>
      <c r="W607" s="7">
        <v>164.0</v>
      </c>
      <c r="X607" s="7">
        <v>50.08</v>
      </c>
      <c r="Y607" s="7">
        <v>47535.0</v>
      </c>
      <c r="Z607" s="7">
        <v>1.05</v>
      </c>
      <c r="AA607" s="7">
        <v>122.0</v>
      </c>
      <c r="AB607" s="7"/>
      <c r="AC607" s="7"/>
      <c r="AD607" s="7"/>
    </row>
    <row r="608" ht="15.75" customHeight="1">
      <c r="A608" s="6">
        <v>45168.0</v>
      </c>
      <c r="B608" s="7">
        <f t="shared" si="1"/>
        <v>30</v>
      </c>
      <c r="C608" s="7">
        <f t="shared" si="2"/>
        <v>8</v>
      </c>
      <c r="D608" s="7">
        <v>4427.42</v>
      </c>
      <c r="E608" s="7">
        <v>20253.0</v>
      </c>
      <c r="F608" s="7">
        <v>16752.0</v>
      </c>
      <c r="G608" s="7">
        <v>37005.0</v>
      </c>
      <c r="H608" s="7">
        <v>541.29</v>
      </c>
      <c r="I608" s="7">
        <v>7135.0</v>
      </c>
      <c r="J608" s="7">
        <v>0.076</v>
      </c>
      <c r="K608" s="7">
        <v>6014.0</v>
      </c>
      <c r="L608" s="7">
        <v>1514.08</v>
      </c>
      <c r="M608" s="7">
        <v>3597.0</v>
      </c>
      <c r="N608" s="7">
        <v>0.421</v>
      </c>
      <c r="O608" s="8">
        <v>3253.0</v>
      </c>
      <c r="P608" s="7">
        <v>2322.01</v>
      </c>
      <c r="Q608" s="7">
        <v>2023600.0</v>
      </c>
      <c r="R608" s="7">
        <v>1.15</v>
      </c>
      <c r="S608" s="7">
        <v>7289.0</v>
      </c>
      <c r="T608" s="7">
        <v>0.0</v>
      </c>
      <c r="U608" s="7">
        <v>0.0</v>
      </c>
      <c r="V608" s="7">
        <v>0.0</v>
      </c>
      <c r="W608" s="7">
        <v>178.0</v>
      </c>
      <c r="X608" s="7">
        <v>50.04</v>
      </c>
      <c r="Y608" s="7">
        <v>46818.0</v>
      </c>
      <c r="Z608" s="7">
        <v>1.07</v>
      </c>
      <c r="AA608" s="7">
        <v>112.0</v>
      </c>
      <c r="AB608" s="7"/>
      <c r="AC608" s="7"/>
      <c r="AD608" s="7"/>
    </row>
    <row r="609" ht="15.75" customHeight="1">
      <c r="A609" s="6">
        <v>45169.0</v>
      </c>
      <c r="B609" s="7">
        <f t="shared" si="1"/>
        <v>31</v>
      </c>
      <c r="C609" s="7">
        <f t="shared" si="2"/>
        <v>8</v>
      </c>
      <c r="D609" s="7">
        <v>4261.19</v>
      </c>
      <c r="E609" s="7">
        <v>19577.0</v>
      </c>
      <c r="F609" s="7">
        <v>15176.0</v>
      </c>
      <c r="G609" s="7">
        <v>34753.0</v>
      </c>
      <c r="H609" s="7">
        <v>470.69</v>
      </c>
      <c r="I609" s="7">
        <v>6852.0</v>
      </c>
      <c r="J609" s="7">
        <v>0.069</v>
      </c>
      <c r="K609" s="7">
        <v>5605.0</v>
      </c>
      <c r="L609" s="7">
        <v>1466.22</v>
      </c>
      <c r="M609" s="7">
        <v>3255.0</v>
      </c>
      <c r="N609" s="7">
        <v>0.45</v>
      </c>
      <c r="O609" s="8">
        <v>2933.0</v>
      </c>
      <c r="P609" s="7">
        <v>2274.27</v>
      </c>
      <c r="Q609" s="7">
        <v>1971616.0</v>
      </c>
      <c r="R609" s="7">
        <v>1.15</v>
      </c>
      <c r="S609" s="7">
        <v>6629.0</v>
      </c>
      <c r="T609" s="7">
        <v>0.0</v>
      </c>
      <c r="U609" s="7">
        <v>0.0</v>
      </c>
      <c r="V609" s="7">
        <v>0.0</v>
      </c>
      <c r="W609" s="7">
        <v>153.0</v>
      </c>
      <c r="X609" s="7">
        <v>50.01</v>
      </c>
      <c r="Y609" s="7">
        <v>54844.0</v>
      </c>
      <c r="Z609" s="7">
        <v>0.91</v>
      </c>
      <c r="AA609" s="7">
        <v>128.0</v>
      </c>
      <c r="AB609" s="7"/>
      <c r="AC609" s="7"/>
      <c r="AD609" s="7"/>
    </row>
    <row r="610" ht="15.75" customHeight="1">
      <c r="A610" s="6">
        <v>45170.0</v>
      </c>
      <c r="B610" s="7">
        <f t="shared" si="1"/>
        <v>1</v>
      </c>
      <c r="C610" s="7">
        <f t="shared" si="2"/>
        <v>9</v>
      </c>
      <c r="D610" s="7">
        <v>4631.99</v>
      </c>
      <c r="E610" s="7">
        <v>17502.0</v>
      </c>
      <c r="F610" s="7">
        <v>16128.0</v>
      </c>
      <c r="G610" s="7">
        <v>33630.0</v>
      </c>
      <c r="H610" s="7">
        <v>448.32</v>
      </c>
      <c r="I610" s="7">
        <v>5719.0</v>
      </c>
      <c r="J610" s="7">
        <v>0.078</v>
      </c>
      <c r="K610" s="7">
        <v>4747.0</v>
      </c>
      <c r="L610" s="7">
        <v>1442.16</v>
      </c>
      <c r="M610" s="7">
        <v>3057.0</v>
      </c>
      <c r="N610" s="7">
        <v>0.472</v>
      </c>
      <c r="O610" s="8">
        <v>2821.0</v>
      </c>
      <c r="P610" s="7">
        <v>2691.56</v>
      </c>
      <c r="Q610" s="7">
        <v>2266478.0</v>
      </c>
      <c r="R610" s="7">
        <v>1.19</v>
      </c>
      <c r="S610" s="7">
        <v>8252.0</v>
      </c>
      <c r="T610" s="7">
        <v>0.0</v>
      </c>
      <c r="U610" s="7">
        <v>0.0</v>
      </c>
      <c r="V610" s="7">
        <v>0.0</v>
      </c>
      <c r="W610" s="7">
        <v>159.0</v>
      </c>
      <c r="X610" s="7">
        <v>49.95</v>
      </c>
      <c r="Y610" s="7">
        <v>52916.0</v>
      </c>
      <c r="Z610" s="7">
        <v>0.94</v>
      </c>
      <c r="AA610" s="7">
        <v>98.0</v>
      </c>
      <c r="AB610" s="7"/>
      <c r="AC610" s="7"/>
      <c r="AD610" s="7"/>
    </row>
    <row r="611" ht="15.75" customHeight="1">
      <c r="A611" s="6">
        <v>45171.0</v>
      </c>
      <c r="B611" s="7">
        <f t="shared" si="1"/>
        <v>2</v>
      </c>
      <c r="C611" s="7">
        <f t="shared" si="2"/>
        <v>9</v>
      </c>
      <c r="D611" s="7">
        <v>5102.02</v>
      </c>
      <c r="E611" s="7">
        <v>16286.0</v>
      </c>
      <c r="F611" s="7">
        <v>16925.0</v>
      </c>
      <c r="G611" s="7">
        <v>33211.0</v>
      </c>
      <c r="H611" s="7">
        <v>363.95</v>
      </c>
      <c r="I611" s="7">
        <v>5480.0</v>
      </c>
      <c r="J611" s="7">
        <v>0.066</v>
      </c>
      <c r="K611" s="7">
        <v>4278.0</v>
      </c>
      <c r="L611" s="7">
        <v>1854.8</v>
      </c>
      <c r="M611" s="7">
        <v>3559.0</v>
      </c>
      <c r="N611" s="7">
        <v>0.521</v>
      </c>
      <c r="O611" s="8">
        <v>3124.0</v>
      </c>
      <c r="P611" s="7">
        <v>2833.5</v>
      </c>
      <c r="Q611" s="7">
        <v>2219216.0</v>
      </c>
      <c r="R611" s="7">
        <v>1.28</v>
      </c>
      <c r="S611" s="7">
        <v>9301.0</v>
      </c>
      <c r="T611" s="7">
        <v>0.0</v>
      </c>
      <c r="U611" s="7">
        <v>0.0</v>
      </c>
      <c r="V611" s="7">
        <v>0.0</v>
      </c>
      <c r="W611" s="7">
        <v>129.0</v>
      </c>
      <c r="X611" s="7">
        <v>49.77</v>
      </c>
      <c r="Y611" s="7">
        <v>41757.0</v>
      </c>
      <c r="Z611" s="7">
        <v>1.19</v>
      </c>
      <c r="AA611" s="7">
        <v>105.0</v>
      </c>
      <c r="AB611" s="7"/>
      <c r="AC611" s="7"/>
      <c r="AD611" s="7"/>
    </row>
    <row r="612" ht="15.75" customHeight="1">
      <c r="A612" s="6">
        <v>45172.0</v>
      </c>
      <c r="B612" s="7">
        <f t="shared" si="1"/>
        <v>3</v>
      </c>
      <c r="C612" s="7">
        <f t="shared" si="2"/>
        <v>9</v>
      </c>
      <c r="D612" s="7">
        <v>5604.71</v>
      </c>
      <c r="E612" s="7">
        <v>17807.0</v>
      </c>
      <c r="F612" s="7">
        <v>18983.0</v>
      </c>
      <c r="G612" s="7">
        <v>36790.0</v>
      </c>
      <c r="H612" s="7">
        <v>433.25</v>
      </c>
      <c r="I612" s="7">
        <v>6328.0</v>
      </c>
      <c r="J612" s="7">
        <v>0.068</v>
      </c>
      <c r="K612" s="7">
        <v>4884.0</v>
      </c>
      <c r="L612" s="7">
        <v>2036.6</v>
      </c>
      <c r="M612" s="7">
        <v>4404.0</v>
      </c>
      <c r="N612" s="7">
        <v>0.462</v>
      </c>
      <c r="O612" s="8">
        <v>3766.0</v>
      </c>
      <c r="P612" s="7">
        <v>3084.79</v>
      </c>
      <c r="Q612" s="7">
        <v>2606918.0</v>
      </c>
      <c r="R612" s="7">
        <v>1.18</v>
      </c>
      <c r="S612" s="7">
        <v>10251.0</v>
      </c>
      <c r="T612" s="7">
        <v>0.0</v>
      </c>
      <c r="U612" s="7">
        <v>0.0</v>
      </c>
      <c r="V612" s="7">
        <v>0.0</v>
      </c>
      <c r="W612" s="7">
        <v>108.0</v>
      </c>
      <c r="X612" s="7">
        <v>50.07</v>
      </c>
      <c r="Y612" s="7">
        <v>41867.0</v>
      </c>
      <c r="Z612" s="7">
        <v>1.2</v>
      </c>
      <c r="AA612" s="7">
        <v>117.0</v>
      </c>
      <c r="AB612" s="7"/>
      <c r="AC612" s="7"/>
      <c r="AD612" s="7"/>
    </row>
    <row r="613" ht="15.75" customHeight="1">
      <c r="A613" s="6">
        <v>45173.0</v>
      </c>
      <c r="B613" s="7">
        <f t="shared" si="1"/>
        <v>4</v>
      </c>
      <c r="C613" s="7">
        <f t="shared" si="2"/>
        <v>9</v>
      </c>
      <c r="D613" s="7">
        <v>5666.36</v>
      </c>
      <c r="E613" s="7">
        <v>18631.0</v>
      </c>
      <c r="F613" s="7">
        <v>17633.0</v>
      </c>
      <c r="G613" s="7">
        <v>36264.0</v>
      </c>
      <c r="H613" s="7">
        <v>544.09</v>
      </c>
      <c r="I613" s="7">
        <v>6454.0</v>
      </c>
      <c r="J613" s="7">
        <v>0.084</v>
      </c>
      <c r="K613" s="7">
        <v>5300.0</v>
      </c>
      <c r="L613" s="7">
        <v>2032.28</v>
      </c>
      <c r="M613" s="7">
        <v>4048.0</v>
      </c>
      <c r="N613" s="7">
        <v>0.502</v>
      </c>
      <c r="O613" s="8">
        <v>3703.0</v>
      </c>
      <c r="P613" s="7">
        <v>2979.94</v>
      </c>
      <c r="Q613" s="7">
        <v>2584289.0</v>
      </c>
      <c r="R613" s="7">
        <v>1.15</v>
      </c>
      <c r="S613" s="7">
        <v>8590.0</v>
      </c>
      <c r="T613" s="7">
        <v>0.0</v>
      </c>
      <c r="U613" s="7">
        <v>0.0</v>
      </c>
      <c r="V613" s="7">
        <v>0.0</v>
      </c>
      <c r="W613" s="7">
        <v>173.0</v>
      </c>
      <c r="X613" s="7">
        <v>110.05</v>
      </c>
      <c r="Y613" s="7">
        <v>231687.0</v>
      </c>
      <c r="Z613" s="7">
        <v>0.47</v>
      </c>
      <c r="AA613" s="7">
        <v>71.0</v>
      </c>
      <c r="AB613" s="7"/>
      <c r="AC613" s="7"/>
      <c r="AD613" s="7"/>
    </row>
    <row r="614" ht="15.75" customHeight="1">
      <c r="A614" s="6">
        <v>45174.0</v>
      </c>
      <c r="B614" s="7">
        <f t="shared" si="1"/>
        <v>5</v>
      </c>
      <c r="C614" s="7">
        <f t="shared" si="2"/>
        <v>9</v>
      </c>
      <c r="D614" s="7">
        <v>5627.7</v>
      </c>
      <c r="E614" s="7">
        <v>18835.0</v>
      </c>
      <c r="F614" s="7">
        <v>16540.0</v>
      </c>
      <c r="G614" s="7">
        <v>35375.0</v>
      </c>
      <c r="H614" s="7">
        <v>492.26</v>
      </c>
      <c r="I614" s="7">
        <v>6211.0</v>
      </c>
      <c r="J614" s="7">
        <v>0.079</v>
      </c>
      <c r="K614" s="7">
        <v>5101.0</v>
      </c>
      <c r="L614" s="7">
        <v>2031.74</v>
      </c>
      <c r="M614" s="7">
        <v>4106.0</v>
      </c>
      <c r="N614" s="7">
        <v>0.495</v>
      </c>
      <c r="O614" s="8">
        <v>3764.0</v>
      </c>
      <c r="P614" s="7">
        <v>2993.64</v>
      </c>
      <c r="Q614" s="7">
        <v>2351502.0</v>
      </c>
      <c r="R614" s="7">
        <v>1.27</v>
      </c>
      <c r="S614" s="7">
        <v>7844.0</v>
      </c>
      <c r="T614" s="7">
        <v>0.0</v>
      </c>
      <c r="U614" s="7">
        <v>0.0</v>
      </c>
      <c r="V614" s="7">
        <v>0.0</v>
      </c>
      <c r="W614" s="7">
        <v>156.0</v>
      </c>
      <c r="X614" s="7">
        <v>110.06</v>
      </c>
      <c r="Y614" s="7">
        <v>172354.0</v>
      </c>
      <c r="Z614" s="7">
        <v>0.64</v>
      </c>
      <c r="AA614" s="7">
        <v>122.0</v>
      </c>
      <c r="AB614" s="7"/>
      <c r="AC614" s="7"/>
      <c r="AD614" s="7"/>
    </row>
    <row r="615" ht="15.75" customHeight="1">
      <c r="A615" s="6">
        <v>45175.0</v>
      </c>
      <c r="B615" s="7">
        <f t="shared" si="1"/>
        <v>6</v>
      </c>
      <c r="C615" s="7">
        <f t="shared" si="2"/>
        <v>9</v>
      </c>
      <c r="D615" s="7">
        <v>5780.71</v>
      </c>
      <c r="E615" s="7">
        <v>19110.0</v>
      </c>
      <c r="F615" s="7">
        <v>16680.0</v>
      </c>
      <c r="G615" s="7">
        <v>35790.0</v>
      </c>
      <c r="H615" s="7">
        <v>477.17</v>
      </c>
      <c r="I615" s="7">
        <v>6009.0</v>
      </c>
      <c r="J615" s="7">
        <v>0.079</v>
      </c>
      <c r="K615" s="7">
        <v>4871.0</v>
      </c>
      <c r="L615" s="7">
        <v>2026.91</v>
      </c>
      <c r="M615" s="7">
        <v>3999.0</v>
      </c>
      <c r="N615" s="7">
        <v>0.507</v>
      </c>
      <c r="O615" s="8">
        <v>3662.0</v>
      </c>
      <c r="P615" s="7">
        <v>3166.44</v>
      </c>
      <c r="Q615" s="7">
        <v>2291945.0</v>
      </c>
      <c r="R615" s="7">
        <v>1.38</v>
      </c>
      <c r="S615" s="7">
        <v>8090.0</v>
      </c>
      <c r="T615" s="7">
        <v>0.0</v>
      </c>
      <c r="U615" s="7">
        <v>0.0</v>
      </c>
      <c r="V615" s="7">
        <v>0.0</v>
      </c>
      <c r="W615" s="7">
        <v>154.0</v>
      </c>
      <c r="X615" s="7">
        <v>110.19</v>
      </c>
      <c r="Y615" s="7">
        <v>166526.0</v>
      </c>
      <c r="Z615" s="7">
        <v>0.66</v>
      </c>
      <c r="AA615" s="7">
        <v>102.0</v>
      </c>
      <c r="AB615" s="7"/>
      <c r="AC615" s="7"/>
      <c r="AD615" s="7"/>
    </row>
    <row r="616" ht="15.75" customHeight="1">
      <c r="A616" s="6">
        <v>45176.0</v>
      </c>
      <c r="B616" s="7">
        <f t="shared" si="1"/>
        <v>7</v>
      </c>
      <c r="C616" s="7">
        <f t="shared" si="2"/>
        <v>9</v>
      </c>
      <c r="D616" s="7">
        <v>6079.93</v>
      </c>
      <c r="E616" s="7">
        <v>17781.0</v>
      </c>
      <c r="F616" s="7">
        <v>17579.0</v>
      </c>
      <c r="G616" s="7">
        <v>35360.0</v>
      </c>
      <c r="H616" s="7">
        <v>448.68</v>
      </c>
      <c r="I616" s="7">
        <v>5817.0</v>
      </c>
      <c r="J616" s="7">
        <v>0.077</v>
      </c>
      <c r="K616" s="7">
        <v>4787.0</v>
      </c>
      <c r="L616" s="7">
        <v>2002.97</v>
      </c>
      <c r="M616" s="7">
        <v>3845.0</v>
      </c>
      <c r="N616" s="7">
        <v>0.521</v>
      </c>
      <c r="O616" s="8">
        <v>3559.0</v>
      </c>
      <c r="P616" s="7">
        <v>3551.57</v>
      </c>
      <c r="Q616" s="7">
        <v>2496955.0</v>
      </c>
      <c r="R616" s="7">
        <v>1.42</v>
      </c>
      <c r="S616" s="7">
        <v>8816.0</v>
      </c>
      <c r="T616" s="7">
        <v>0.0</v>
      </c>
      <c r="U616" s="7">
        <v>0.0</v>
      </c>
      <c r="V616" s="7">
        <v>0.0</v>
      </c>
      <c r="W616" s="7">
        <v>178.0</v>
      </c>
      <c r="X616" s="7">
        <v>76.71</v>
      </c>
      <c r="Y616" s="7">
        <v>100695.0</v>
      </c>
      <c r="Z616" s="7">
        <v>0.76</v>
      </c>
      <c r="AA616" s="7">
        <v>106.0</v>
      </c>
      <c r="AB616" s="7"/>
      <c r="AC616" s="7"/>
      <c r="AD616" s="7"/>
    </row>
    <row r="617" ht="15.75" customHeight="1">
      <c r="A617" s="6">
        <v>45177.0</v>
      </c>
      <c r="B617" s="7">
        <f t="shared" si="1"/>
        <v>8</v>
      </c>
      <c r="C617" s="7">
        <f t="shared" si="2"/>
        <v>9</v>
      </c>
      <c r="D617" s="7">
        <v>5841.93</v>
      </c>
      <c r="E617" s="7">
        <v>15645.0</v>
      </c>
      <c r="F617" s="7">
        <v>15594.0</v>
      </c>
      <c r="G617" s="7">
        <v>31239.0</v>
      </c>
      <c r="H617" s="7">
        <v>438.62</v>
      </c>
      <c r="I617" s="7">
        <v>5070.0</v>
      </c>
      <c r="J617" s="7">
        <v>0.087</v>
      </c>
      <c r="K617" s="7">
        <v>4310.0</v>
      </c>
      <c r="L617" s="7">
        <v>1702.25</v>
      </c>
      <c r="M617" s="7">
        <v>3385.0</v>
      </c>
      <c r="N617" s="7">
        <v>0.503</v>
      </c>
      <c r="O617" s="8">
        <v>3199.0</v>
      </c>
      <c r="P617" s="7">
        <v>3501.3</v>
      </c>
      <c r="Q617" s="7">
        <v>2397146.0</v>
      </c>
      <c r="R617" s="7">
        <v>1.46</v>
      </c>
      <c r="S617" s="7">
        <v>7891.0</v>
      </c>
      <c r="T617" s="7">
        <v>16.87</v>
      </c>
      <c r="U617" s="7">
        <v>136.0</v>
      </c>
      <c r="V617" s="7">
        <v>0.12</v>
      </c>
      <c r="W617" s="7">
        <v>233.0</v>
      </c>
      <c r="X617" s="7">
        <v>182.89</v>
      </c>
      <c r="Y617" s="7">
        <v>202264.0</v>
      </c>
      <c r="Z617" s="7">
        <v>0.9</v>
      </c>
      <c r="AA617" s="7">
        <v>254.0</v>
      </c>
      <c r="AB617" s="7"/>
      <c r="AC617" s="7"/>
      <c r="AD617" s="7"/>
    </row>
    <row r="618" ht="15.75" customHeight="1">
      <c r="A618" s="6">
        <v>45178.0</v>
      </c>
      <c r="B618" s="7">
        <f t="shared" si="1"/>
        <v>9</v>
      </c>
      <c r="C618" s="7">
        <f t="shared" si="2"/>
        <v>9</v>
      </c>
      <c r="D618" s="7">
        <v>6313.24</v>
      </c>
      <c r="E618" s="7">
        <v>15356.0</v>
      </c>
      <c r="F618" s="7">
        <v>16620.0</v>
      </c>
      <c r="G618" s="7">
        <v>31976.0</v>
      </c>
      <c r="H618" s="7">
        <v>406.09</v>
      </c>
      <c r="I618" s="7">
        <v>5281.0</v>
      </c>
      <c r="J618" s="7">
        <v>0.077</v>
      </c>
      <c r="K618" s="7">
        <v>4035.0</v>
      </c>
      <c r="L618" s="7">
        <v>1897.17</v>
      </c>
      <c r="M618" s="7">
        <v>3735.0</v>
      </c>
      <c r="N618" s="7">
        <v>0.508</v>
      </c>
      <c r="O618" s="8">
        <v>3317.0</v>
      </c>
      <c r="P618" s="7">
        <v>3717.82</v>
      </c>
      <c r="Q618" s="7">
        <v>2528090.0</v>
      </c>
      <c r="R618" s="7">
        <v>1.47</v>
      </c>
      <c r="S618" s="7">
        <v>8721.0</v>
      </c>
      <c r="T618" s="7">
        <v>76.83</v>
      </c>
      <c r="U618" s="7">
        <v>451.0</v>
      </c>
      <c r="V618" s="7">
        <v>0.17</v>
      </c>
      <c r="W618" s="7">
        <v>347.0</v>
      </c>
      <c r="X618" s="7">
        <v>215.33</v>
      </c>
      <c r="Y618" s="7">
        <v>241158.0</v>
      </c>
      <c r="Z618" s="7">
        <v>0.89</v>
      </c>
      <c r="AA618" s="7">
        <v>263.0</v>
      </c>
      <c r="AB618" s="7"/>
      <c r="AC618" s="7"/>
      <c r="AD618" s="7"/>
    </row>
    <row r="619" ht="15.75" customHeight="1">
      <c r="A619" s="6">
        <v>45179.0</v>
      </c>
      <c r="B619" s="7">
        <f t="shared" si="1"/>
        <v>10</v>
      </c>
      <c r="C619" s="7">
        <f t="shared" si="2"/>
        <v>9</v>
      </c>
      <c r="D619" s="7">
        <v>7329.64</v>
      </c>
      <c r="E619" s="7">
        <v>16458.0</v>
      </c>
      <c r="F619" s="7">
        <v>19628.0</v>
      </c>
      <c r="G619" s="7">
        <v>36086.0</v>
      </c>
      <c r="H619" s="7">
        <v>407.6</v>
      </c>
      <c r="I619" s="7">
        <v>5856.0</v>
      </c>
      <c r="J619" s="7">
        <v>0.07</v>
      </c>
      <c r="K619" s="7">
        <v>4479.0</v>
      </c>
      <c r="L619" s="7">
        <v>2417.06</v>
      </c>
      <c r="M619" s="7">
        <v>4883.0</v>
      </c>
      <c r="N619" s="7">
        <v>0.495</v>
      </c>
      <c r="O619" s="8">
        <v>4081.0</v>
      </c>
      <c r="P619" s="7">
        <v>4201.53</v>
      </c>
      <c r="Q619" s="7">
        <v>3069329.0</v>
      </c>
      <c r="R619" s="7">
        <v>1.37</v>
      </c>
      <c r="S619" s="7">
        <v>10041.0</v>
      </c>
      <c r="T619" s="7">
        <v>126.74</v>
      </c>
      <c r="U619" s="7">
        <v>654.0</v>
      </c>
      <c r="V619" s="7">
        <v>0.19</v>
      </c>
      <c r="W619" s="7">
        <v>475.0</v>
      </c>
      <c r="X619" s="7">
        <v>176.71</v>
      </c>
      <c r="Y619" s="7">
        <v>189982.0</v>
      </c>
      <c r="Z619" s="7">
        <v>0.93</v>
      </c>
      <c r="AA619" s="7">
        <v>330.0</v>
      </c>
      <c r="AB619" s="7"/>
      <c r="AC619" s="7"/>
      <c r="AD619" s="7"/>
    </row>
    <row r="620" ht="15.75" customHeight="1">
      <c r="A620" s="6">
        <v>45180.0</v>
      </c>
      <c r="B620" s="7">
        <f t="shared" si="1"/>
        <v>11</v>
      </c>
      <c r="C620" s="7">
        <f t="shared" si="2"/>
        <v>9</v>
      </c>
      <c r="D620" s="7">
        <v>8087.65</v>
      </c>
      <c r="E620" s="7">
        <v>21147.0</v>
      </c>
      <c r="F620" s="7">
        <v>19122.0</v>
      </c>
      <c r="G620" s="7">
        <v>40269.0</v>
      </c>
      <c r="H620" s="7">
        <v>550.74</v>
      </c>
      <c r="I620" s="7">
        <v>6214.0</v>
      </c>
      <c r="J620" s="7">
        <v>0.089</v>
      </c>
      <c r="K620" s="7">
        <v>5090.0</v>
      </c>
      <c r="L620" s="7">
        <v>2766.27</v>
      </c>
      <c r="M620" s="7">
        <v>4742.0</v>
      </c>
      <c r="N620" s="7">
        <v>0.583</v>
      </c>
      <c r="O620" s="8">
        <v>4080.0</v>
      </c>
      <c r="P620" s="7">
        <v>4541.71</v>
      </c>
      <c r="Q620" s="7">
        <v>2998205.0</v>
      </c>
      <c r="R620" s="7">
        <v>1.51</v>
      </c>
      <c r="S620" s="7">
        <v>9538.0</v>
      </c>
      <c r="T620" s="7">
        <v>47.86</v>
      </c>
      <c r="U620" s="7">
        <v>145.0</v>
      </c>
      <c r="V620" s="7">
        <v>0.33</v>
      </c>
      <c r="W620" s="7">
        <v>355.0</v>
      </c>
      <c r="X620" s="7">
        <v>181.07</v>
      </c>
      <c r="Y620" s="7">
        <v>170170.0</v>
      </c>
      <c r="Z620" s="7">
        <v>1.06</v>
      </c>
      <c r="AA620" s="7">
        <v>240.0</v>
      </c>
      <c r="AB620" s="7"/>
      <c r="AC620" s="7"/>
      <c r="AD620" s="7"/>
    </row>
    <row r="621" ht="15.75" customHeight="1">
      <c r="A621" s="6">
        <v>45181.0</v>
      </c>
      <c r="B621" s="7">
        <f t="shared" si="1"/>
        <v>12</v>
      </c>
      <c r="C621" s="7">
        <f t="shared" si="2"/>
        <v>9</v>
      </c>
      <c r="D621" s="7">
        <v>8236.69</v>
      </c>
      <c r="E621" s="7">
        <v>19231.0</v>
      </c>
      <c r="F621" s="7">
        <v>18573.0</v>
      </c>
      <c r="G621" s="7">
        <v>37804.0</v>
      </c>
      <c r="H621" s="7">
        <v>576.29</v>
      </c>
      <c r="I621" s="7">
        <v>6005.0</v>
      </c>
      <c r="J621" s="7">
        <v>0.096</v>
      </c>
      <c r="K621" s="7">
        <v>4779.0</v>
      </c>
      <c r="L621" s="7">
        <v>2407.34</v>
      </c>
      <c r="M621" s="7">
        <v>4229.0</v>
      </c>
      <c r="N621" s="7">
        <v>0.569</v>
      </c>
      <c r="O621" s="8">
        <v>3782.0</v>
      </c>
      <c r="P621" s="7">
        <v>5061.24</v>
      </c>
      <c r="Q621" s="7">
        <v>2956824.0</v>
      </c>
      <c r="R621" s="7">
        <v>1.71</v>
      </c>
      <c r="S621" s="7">
        <v>9980.0</v>
      </c>
      <c r="T621" s="7">
        <v>52.44</v>
      </c>
      <c r="U621" s="7">
        <v>275.0</v>
      </c>
      <c r="V621" s="7">
        <v>0.19</v>
      </c>
      <c r="W621" s="7">
        <v>357.0</v>
      </c>
      <c r="X621" s="7">
        <v>139.38</v>
      </c>
      <c r="Y621" s="7">
        <v>103052.0</v>
      </c>
      <c r="Z621" s="7">
        <v>1.35</v>
      </c>
      <c r="AA621" s="7">
        <v>182.0</v>
      </c>
      <c r="AB621" s="7"/>
      <c r="AC621" s="7"/>
      <c r="AD621" s="7"/>
    </row>
    <row r="622" ht="15.75" customHeight="1">
      <c r="A622" s="6">
        <v>45182.0</v>
      </c>
      <c r="B622" s="7">
        <f t="shared" si="1"/>
        <v>13</v>
      </c>
      <c r="C622" s="7">
        <f t="shared" si="2"/>
        <v>9</v>
      </c>
      <c r="D622" s="7">
        <v>8182.44</v>
      </c>
      <c r="E622" s="7">
        <v>18275.0</v>
      </c>
      <c r="F622" s="7">
        <v>18769.0</v>
      </c>
      <c r="G622" s="7">
        <v>37044.0</v>
      </c>
      <c r="H622" s="7">
        <v>486.28</v>
      </c>
      <c r="I622" s="7">
        <v>5542.0</v>
      </c>
      <c r="J622" s="7">
        <v>0.088</v>
      </c>
      <c r="K622" s="7">
        <v>4581.0</v>
      </c>
      <c r="L622" s="7">
        <v>2526.56</v>
      </c>
      <c r="M622" s="7">
        <v>4287.0</v>
      </c>
      <c r="N622" s="7">
        <v>0.589</v>
      </c>
      <c r="O622" s="8">
        <v>3837.0</v>
      </c>
      <c r="P622" s="7">
        <v>4945.16</v>
      </c>
      <c r="Q622" s="7">
        <v>2876377.0</v>
      </c>
      <c r="R622" s="7">
        <v>1.72</v>
      </c>
      <c r="S622" s="7">
        <v>9747.0</v>
      </c>
      <c r="T622" s="7">
        <v>32.05</v>
      </c>
      <c r="U622" s="7">
        <v>160.0</v>
      </c>
      <c r="V622" s="7">
        <v>0.2</v>
      </c>
      <c r="W622" s="7">
        <v>332.0</v>
      </c>
      <c r="X622" s="7">
        <v>192.39</v>
      </c>
      <c r="Y622" s="7">
        <v>173602.0</v>
      </c>
      <c r="Z622" s="7">
        <v>1.11</v>
      </c>
      <c r="AA622" s="7">
        <v>275.0</v>
      </c>
      <c r="AB622" s="7"/>
      <c r="AC622" s="7"/>
      <c r="AD622" s="7"/>
    </row>
    <row r="623" ht="15.75" customHeight="1">
      <c r="A623" s="6">
        <v>45183.0</v>
      </c>
      <c r="B623" s="7">
        <f t="shared" si="1"/>
        <v>14</v>
      </c>
      <c r="C623" s="7">
        <f t="shared" si="2"/>
        <v>9</v>
      </c>
      <c r="D623" s="7">
        <v>8259.68</v>
      </c>
      <c r="E623" s="7">
        <v>17091.0</v>
      </c>
      <c r="F623" s="7">
        <v>17599.0</v>
      </c>
      <c r="G623" s="7">
        <v>34690.0</v>
      </c>
      <c r="H623" s="7">
        <v>491.94</v>
      </c>
      <c r="I623" s="7">
        <v>5347.0</v>
      </c>
      <c r="J623" s="7">
        <v>0.092</v>
      </c>
      <c r="K623" s="7">
        <v>4467.0</v>
      </c>
      <c r="L623" s="7">
        <v>2676.42</v>
      </c>
      <c r="M623" s="7">
        <v>4267.0</v>
      </c>
      <c r="N623" s="7">
        <v>0.627</v>
      </c>
      <c r="O623" s="8">
        <v>3695.0</v>
      </c>
      <c r="P623" s="7">
        <v>4864.06</v>
      </c>
      <c r="Q623" s="7">
        <v>2658314.0</v>
      </c>
      <c r="R623" s="7">
        <v>1.83</v>
      </c>
      <c r="S623" s="7">
        <v>8788.0</v>
      </c>
      <c r="T623" s="7">
        <v>33.77</v>
      </c>
      <c r="U623" s="7">
        <v>158.0</v>
      </c>
      <c r="V623" s="7">
        <v>0.21</v>
      </c>
      <c r="W623" s="7">
        <v>341.0</v>
      </c>
      <c r="X623" s="7">
        <v>193.49</v>
      </c>
      <c r="Y623" s="7">
        <v>184935.0</v>
      </c>
      <c r="Z623" s="7">
        <v>1.05</v>
      </c>
      <c r="AA623" s="7">
        <v>273.0</v>
      </c>
      <c r="AB623" s="7"/>
      <c r="AC623" s="7"/>
      <c r="AD623" s="7"/>
    </row>
    <row r="624" ht="15.75" customHeight="1">
      <c r="A624" s="6">
        <v>45184.0</v>
      </c>
      <c r="B624" s="7">
        <f t="shared" si="1"/>
        <v>15</v>
      </c>
      <c r="C624" s="7">
        <f t="shared" si="2"/>
        <v>9</v>
      </c>
      <c r="D624" s="7">
        <v>7880.82</v>
      </c>
      <c r="E624" s="7">
        <v>18331.0</v>
      </c>
      <c r="F624" s="7">
        <v>13888.0</v>
      </c>
      <c r="G624" s="7">
        <v>32219.0</v>
      </c>
      <c r="H624" s="7">
        <v>469.86</v>
      </c>
      <c r="I624" s="7">
        <v>4859.0</v>
      </c>
      <c r="J624" s="7">
        <v>0.097</v>
      </c>
      <c r="K624" s="7">
        <v>3515.0</v>
      </c>
      <c r="L624" s="7">
        <v>2381.93</v>
      </c>
      <c r="M624" s="7">
        <v>3816.0</v>
      </c>
      <c r="N624" s="7">
        <v>0.624</v>
      </c>
      <c r="O624" s="8">
        <v>3084.0</v>
      </c>
      <c r="P624" s="7">
        <v>4848.27</v>
      </c>
      <c r="Q624" s="7">
        <v>2562483.0</v>
      </c>
      <c r="R624" s="7">
        <v>1.89</v>
      </c>
      <c r="S624" s="7">
        <v>6950.0</v>
      </c>
      <c r="T624" s="7">
        <v>30.85</v>
      </c>
      <c r="U624" s="7">
        <v>180.0</v>
      </c>
      <c r="V624" s="7">
        <v>0.17</v>
      </c>
      <c r="W624" s="7">
        <v>282.0</v>
      </c>
      <c r="X624" s="7">
        <v>149.91</v>
      </c>
      <c r="Y624" s="7">
        <v>121666.0</v>
      </c>
      <c r="Z624" s="7">
        <v>1.23</v>
      </c>
      <c r="AA624" s="7">
        <v>216.0</v>
      </c>
      <c r="AB624" s="7"/>
      <c r="AC624" s="7"/>
      <c r="AD624" s="7"/>
    </row>
    <row r="625" ht="15.75" customHeight="1">
      <c r="A625" s="6">
        <v>45185.0</v>
      </c>
      <c r="B625" s="7">
        <f t="shared" si="1"/>
        <v>16</v>
      </c>
      <c r="C625" s="7">
        <f t="shared" si="2"/>
        <v>9</v>
      </c>
      <c r="D625" s="7">
        <v>7812.05</v>
      </c>
      <c r="E625" s="7">
        <v>19525.0</v>
      </c>
      <c r="F625" s="7">
        <v>13503.0</v>
      </c>
      <c r="G625" s="7">
        <v>33028.0</v>
      </c>
      <c r="H625" s="7">
        <v>360.46</v>
      </c>
      <c r="I625" s="7">
        <v>4780.0</v>
      </c>
      <c r="J625" s="7">
        <v>0.075</v>
      </c>
      <c r="K625" s="7">
        <v>2931.0</v>
      </c>
      <c r="L625" s="7">
        <v>2322.52</v>
      </c>
      <c r="M625" s="7">
        <v>4026.0</v>
      </c>
      <c r="N625" s="7">
        <v>0.577</v>
      </c>
      <c r="O625" s="8">
        <v>2766.0</v>
      </c>
      <c r="P625" s="7">
        <v>4959.54</v>
      </c>
      <c r="Q625" s="7">
        <v>2596257.0</v>
      </c>
      <c r="R625" s="7">
        <v>1.91</v>
      </c>
      <c r="S625" s="7">
        <v>7332.0</v>
      </c>
      <c r="T625" s="7">
        <v>31.01</v>
      </c>
      <c r="U625" s="7">
        <v>151.0</v>
      </c>
      <c r="V625" s="7">
        <v>0.21</v>
      </c>
      <c r="W625" s="7">
        <v>205.0</v>
      </c>
      <c r="X625" s="7">
        <v>138.52</v>
      </c>
      <c r="Y625" s="7">
        <v>122891.0</v>
      </c>
      <c r="Z625" s="7">
        <v>1.13</v>
      </c>
      <c r="AA625" s="7">
        <v>200.0</v>
      </c>
      <c r="AB625" s="7"/>
      <c r="AC625" s="7"/>
      <c r="AD625" s="7"/>
    </row>
    <row r="626" ht="15.75" customHeight="1">
      <c r="A626" s="6">
        <v>45186.0</v>
      </c>
      <c r="B626" s="7">
        <f t="shared" si="1"/>
        <v>17</v>
      </c>
      <c r="C626" s="7">
        <f t="shared" si="2"/>
        <v>9</v>
      </c>
      <c r="D626" s="7">
        <v>8938.29</v>
      </c>
      <c r="E626" s="7">
        <v>17358.0</v>
      </c>
      <c r="F626" s="7">
        <v>19156.0</v>
      </c>
      <c r="G626" s="7">
        <v>36514.0</v>
      </c>
      <c r="H626" s="7">
        <v>460.62</v>
      </c>
      <c r="I626" s="7">
        <v>5725.0</v>
      </c>
      <c r="J626" s="7">
        <v>0.08</v>
      </c>
      <c r="K626" s="7">
        <v>4265.0</v>
      </c>
      <c r="L626" s="7">
        <v>2851.22</v>
      </c>
      <c r="M626" s="7">
        <v>5113.0</v>
      </c>
      <c r="N626" s="7">
        <v>0.558</v>
      </c>
      <c r="O626" s="8">
        <v>4239.0</v>
      </c>
      <c r="P626" s="7">
        <v>5425.73</v>
      </c>
      <c r="Q626" s="7">
        <v>3197584.0</v>
      </c>
      <c r="R626" s="7">
        <v>1.7</v>
      </c>
      <c r="S626" s="7">
        <v>10231.0</v>
      </c>
      <c r="T626" s="7">
        <v>31.22</v>
      </c>
      <c r="U626" s="7">
        <v>156.0</v>
      </c>
      <c r="V626" s="7">
        <v>0.2</v>
      </c>
      <c r="W626" s="7">
        <v>223.0</v>
      </c>
      <c r="X626" s="7">
        <v>169.5</v>
      </c>
      <c r="Y626" s="7">
        <v>146707.0</v>
      </c>
      <c r="Z626" s="7">
        <v>1.16</v>
      </c>
      <c r="AA626" s="7">
        <v>342.0</v>
      </c>
      <c r="AB626" s="7"/>
      <c r="AC626" s="7"/>
      <c r="AD626" s="7"/>
    </row>
    <row r="627" ht="15.75" customHeight="1">
      <c r="A627" s="6">
        <v>45187.0</v>
      </c>
      <c r="B627" s="7">
        <f t="shared" si="1"/>
        <v>18</v>
      </c>
      <c r="C627" s="7">
        <f t="shared" si="2"/>
        <v>9</v>
      </c>
      <c r="D627" s="7">
        <v>8468.02</v>
      </c>
      <c r="E627" s="7">
        <v>18472.0</v>
      </c>
      <c r="F627" s="7">
        <v>17216.0</v>
      </c>
      <c r="G627" s="7">
        <v>35688.0</v>
      </c>
      <c r="H627" s="7">
        <v>526.9</v>
      </c>
      <c r="I627" s="7">
        <v>5436.0</v>
      </c>
      <c r="J627" s="7">
        <v>0.097</v>
      </c>
      <c r="K627" s="7">
        <v>4273.0</v>
      </c>
      <c r="L627" s="7">
        <v>2597.76</v>
      </c>
      <c r="M627" s="7">
        <v>4267.0</v>
      </c>
      <c r="N627" s="7">
        <v>0.609</v>
      </c>
      <c r="O627" s="8">
        <v>3814.0</v>
      </c>
      <c r="P627" s="7">
        <v>5178.36</v>
      </c>
      <c r="Q627" s="7">
        <v>3102356.0</v>
      </c>
      <c r="R627" s="7">
        <v>1.67</v>
      </c>
      <c r="S627" s="7">
        <v>9144.0</v>
      </c>
      <c r="T627" s="7">
        <v>31.06</v>
      </c>
      <c r="U627" s="7">
        <v>181.0</v>
      </c>
      <c r="V627" s="7">
        <v>0.17</v>
      </c>
      <c r="W627" s="7">
        <v>295.0</v>
      </c>
      <c r="X627" s="7">
        <v>133.94</v>
      </c>
      <c r="Y627" s="7">
        <v>112314.0</v>
      </c>
      <c r="Z627" s="7">
        <v>1.19</v>
      </c>
      <c r="AA627" s="7">
        <v>206.0</v>
      </c>
      <c r="AB627" s="7"/>
      <c r="AC627" s="7"/>
      <c r="AD627" s="7"/>
    </row>
    <row r="628" ht="15.75" customHeight="1">
      <c r="A628" s="6">
        <v>45188.0</v>
      </c>
      <c r="B628" s="7">
        <f t="shared" si="1"/>
        <v>19</v>
      </c>
      <c r="C628" s="7">
        <f t="shared" si="2"/>
        <v>9</v>
      </c>
      <c r="D628" s="7">
        <v>8256.03</v>
      </c>
      <c r="E628" s="7">
        <v>16754.0</v>
      </c>
      <c r="F628" s="7">
        <v>18750.0</v>
      </c>
      <c r="G628" s="7">
        <v>35504.0</v>
      </c>
      <c r="H628" s="7">
        <v>469.27</v>
      </c>
      <c r="I628" s="7">
        <v>5668.0</v>
      </c>
      <c r="J628" s="7">
        <v>0.083</v>
      </c>
      <c r="K628" s="7">
        <v>4679.0</v>
      </c>
      <c r="L628" s="7">
        <v>2536.74</v>
      </c>
      <c r="M628" s="7">
        <v>4012.0</v>
      </c>
      <c r="N628" s="7">
        <v>0.632</v>
      </c>
      <c r="O628" s="8">
        <v>3768.0</v>
      </c>
      <c r="P628" s="7">
        <v>5054.38</v>
      </c>
      <c r="Q628" s="7">
        <v>2814113.0</v>
      </c>
      <c r="R628" s="7">
        <v>1.8</v>
      </c>
      <c r="S628" s="7">
        <v>9668.0</v>
      </c>
      <c r="T628" s="7">
        <v>30.61</v>
      </c>
      <c r="U628" s="7">
        <v>146.0</v>
      </c>
      <c r="V628" s="7">
        <v>0.21</v>
      </c>
      <c r="W628" s="7">
        <v>261.0</v>
      </c>
      <c r="X628" s="7">
        <v>165.03</v>
      </c>
      <c r="Y628" s="7">
        <v>121548.0</v>
      </c>
      <c r="Z628" s="7">
        <v>1.36</v>
      </c>
      <c r="AA628" s="7">
        <v>303.0</v>
      </c>
      <c r="AB628" s="7"/>
      <c r="AC628" s="7"/>
      <c r="AD628" s="7"/>
    </row>
    <row r="629" ht="15.75" customHeight="1">
      <c r="A629" s="6">
        <v>45189.0</v>
      </c>
      <c r="B629" s="7">
        <f t="shared" si="1"/>
        <v>20</v>
      </c>
      <c r="C629" s="7">
        <f t="shared" si="2"/>
        <v>9</v>
      </c>
      <c r="D629" s="7">
        <v>8187.61</v>
      </c>
      <c r="E629" s="7">
        <v>17982.0</v>
      </c>
      <c r="F629" s="7">
        <v>17003.0</v>
      </c>
      <c r="G629" s="7">
        <v>34985.0</v>
      </c>
      <c r="H629" s="7">
        <v>515.77</v>
      </c>
      <c r="I629" s="7">
        <v>5368.0</v>
      </c>
      <c r="J629" s="7">
        <v>0.096</v>
      </c>
      <c r="K629" s="7">
        <v>4451.0</v>
      </c>
      <c r="L629" s="7">
        <v>2518.77</v>
      </c>
      <c r="M629" s="7">
        <v>3753.0</v>
      </c>
      <c r="N629" s="7">
        <v>0.671</v>
      </c>
      <c r="O629" s="8">
        <v>3418.0</v>
      </c>
      <c r="P629" s="7">
        <v>4970.71</v>
      </c>
      <c r="Q629" s="7">
        <v>2699699.0</v>
      </c>
      <c r="R629" s="7">
        <v>1.84</v>
      </c>
      <c r="S629" s="7">
        <v>9180.0</v>
      </c>
      <c r="T629" s="7">
        <v>30.85</v>
      </c>
      <c r="U629" s="7">
        <v>140.0</v>
      </c>
      <c r="V629" s="7">
        <v>0.22</v>
      </c>
      <c r="W629" s="7">
        <v>316.0</v>
      </c>
      <c r="X629" s="7">
        <v>151.51</v>
      </c>
      <c r="Y629" s="7">
        <v>103219.0</v>
      </c>
      <c r="Z629" s="7">
        <v>1.47</v>
      </c>
      <c r="AA629" s="7">
        <v>267.0</v>
      </c>
      <c r="AB629" s="7"/>
      <c r="AC629" s="7"/>
      <c r="AD629" s="7"/>
    </row>
    <row r="630" ht="15.75" customHeight="1">
      <c r="A630" s="6">
        <v>45190.0</v>
      </c>
      <c r="B630" s="7">
        <f t="shared" si="1"/>
        <v>21</v>
      </c>
      <c r="C630" s="7">
        <f t="shared" si="2"/>
        <v>9</v>
      </c>
      <c r="D630" s="7">
        <v>8224.75</v>
      </c>
      <c r="E630" s="7">
        <v>17428.0</v>
      </c>
      <c r="F630" s="7">
        <v>16246.0</v>
      </c>
      <c r="G630" s="7">
        <v>33674.0</v>
      </c>
      <c r="H630" s="7">
        <v>558.55</v>
      </c>
      <c r="I630" s="7">
        <v>5173.0</v>
      </c>
      <c r="J630" s="7">
        <v>0.108</v>
      </c>
      <c r="K630" s="7">
        <v>4042.0</v>
      </c>
      <c r="L630" s="7">
        <v>2358.06</v>
      </c>
      <c r="M630" s="7">
        <v>3389.0</v>
      </c>
      <c r="N630" s="7">
        <v>0.696</v>
      </c>
      <c r="O630" s="8">
        <v>3096.0</v>
      </c>
      <c r="P630" s="7">
        <v>5133.4</v>
      </c>
      <c r="Q630" s="7">
        <v>2941035.0</v>
      </c>
      <c r="R630" s="7">
        <v>1.75</v>
      </c>
      <c r="S630" s="7">
        <v>8927.0</v>
      </c>
      <c r="T630" s="7">
        <v>25.71</v>
      </c>
      <c r="U630" s="7">
        <v>111.0</v>
      </c>
      <c r="V630" s="7">
        <v>0.23</v>
      </c>
      <c r="W630" s="7">
        <v>200.0</v>
      </c>
      <c r="X630" s="7">
        <v>149.03</v>
      </c>
      <c r="Y630" s="7">
        <v>129585.0</v>
      </c>
      <c r="Z630" s="7">
        <v>1.15</v>
      </c>
      <c r="AA630" s="7">
        <v>244.0</v>
      </c>
      <c r="AB630" s="7"/>
      <c r="AC630" s="7"/>
      <c r="AD630" s="7"/>
    </row>
    <row r="631" ht="15.75" customHeight="1">
      <c r="A631" s="6">
        <v>45191.0</v>
      </c>
      <c r="B631" s="7">
        <f t="shared" si="1"/>
        <v>22</v>
      </c>
      <c r="C631" s="7">
        <f t="shared" si="2"/>
        <v>9</v>
      </c>
      <c r="D631" s="7">
        <v>7867.83</v>
      </c>
      <c r="E631" s="7">
        <v>15314.0</v>
      </c>
      <c r="F631" s="7">
        <v>15745.0</v>
      </c>
      <c r="G631" s="7">
        <v>31059.0</v>
      </c>
      <c r="H631" s="7">
        <v>456.31</v>
      </c>
      <c r="I631" s="7">
        <v>4698.0</v>
      </c>
      <c r="J631" s="7">
        <v>0.097</v>
      </c>
      <c r="K631" s="7">
        <v>3883.0</v>
      </c>
      <c r="L631" s="7">
        <v>2166.54</v>
      </c>
      <c r="M631" s="7">
        <v>3222.0</v>
      </c>
      <c r="N631" s="7">
        <v>0.672</v>
      </c>
      <c r="O631" s="8">
        <v>2948.0</v>
      </c>
      <c r="P631" s="7">
        <v>5072.04</v>
      </c>
      <c r="Q631" s="7">
        <v>2656710.0</v>
      </c>
      <c r="R631" s="7">
        <v>1.91</v>
      </c>
      <c r="S631" s="7">
        <v>8410.0</v>
      </c>
      <c r="T631" s="7">
        <v>32.25</v>
      </c>
      <c r="U631" s="7">
        <v>256.0</v>
      </c>
      <c r="V631" s="7">
        <v>0.13</v>
      </c>
      <c r="W631" s="7">
        <v>247.0</v>
      </c>
      <c r="X631" s="7">
        <v>140.69</v>
      </c>
      <c r="Y631" s="7">
        <v>119943.0</v>
      </c>
      <c r="Z631" s="7">
        <v>1.17</v>
      </c>
      <c r="AA631" s="7">
        <v>250.0</v>
      </c>
      <c r="AB631" s="7"/>
      <c r="AC631" s="7"/>
      <c r="AD631" s="7"/>
    </row>
    <row r="632" ht="15.75" customHeight="1">
      <c r="A632" s="6">
        <v>45192.0</v>
      </c>
      <c r="B632" s="7">
        <f t="shared" si="1"/>
        <v>23</v>
      </c>
      <c r="C632" s="7">
        <f t="shared" si="2"/>
        <v>9</v>
      </c>
      <c r="D632" s="7">
        <v>7846.3</v>
      </c>
      <c r="E632" s="7">
        <v>13424.0</v>
      </c>
      <c r="F632" s="7">
        <v>15849.0</v>
      </c>
      <c r="G632" s="7">
        <v>29273.0</v>
      </c>
      <c r="H632" s="7">
        <v>363.32</v>
      </c>
      <c r="I632" s="7">
        <v>4483.0</v>
      </c>
      <c r="J632" s="7">
        <v>0.081</v>
      </c>
      <c r="K632" s="7">
        <v>3520.0</v>
      </c>
      <c r="L632" s="7">
        <v>2206.56</v>
      </c>
      <c r="M632" s="7">
        <v>3333.0</v>
      </c>
      <c r="N632" s="7">
        <v>0.662</v>
      </c>
      <c r="O632" s="8">
        <v>2983.0</v>
      </c>
      <c r="P632" s="7">
        <v>5118.39</v>
      </c>
      <c r="Q632" s="7">
        <v>2647170.0</v>
      </c>
      <c r="R632" s="7">
        <v>1.93</v>
      </c>
      <c r="S632" s="7">
        <v>9029.0</v>
      </c>
      <c r="T632" s="7">
        <v>17.73</v>
      </c>
      <c r="U632" s="7">
        <v>228.0</v>
      </c>
      <c r="V632" s="7">
        <v>0.08</v>
      </c>
      <c r="W632" s="7">
        <v>212.0</v>
      </c>
      <c r="X632" s="7">
        <v>140.3</v>
      </c>
      <c r="Y632" s="7">
        <v>122149.0</v>
      </c>
      <c r="Z632" s="7">
        <v>1.15</v>
      </c>
      <c r="AA632" s="7">
        <v>213.0</v>
      </c>
      <c r="AB632" s="7"/>
      <c r="AC632" s="7"/>
      <c r="AD632" s="7"/>
    </row>
    <row r="633" ht="15.75" customHeight="1">
      <c r="A633" s="6">
        <v>45193.0</v>
      </c>
      <c r="B633" s="7">
        <f t="shared" si="1"/>
        <v>24</v>
      </c>
      <c r="C633" s="7">
        <f t="shared" si="2"/>
        <v>9</v>
      </c>
      <c r="D633" s="7">
        <v>8616.45</v>
      </c>
      <c r="E633" s="7">
        <v>14956.0</v>
      </c>
      <c r="F633" s="7">
        <v>18051.0</v>
      </c>
      <c r="G633" s="7">
        <v>33007.0</v>
      </c>
      <c r="H633" s="7">
        <v>383.18</v>
      </c>
      <c r="I633" s="7">
        <v>4993.0</v>
      </c>
      <c r="J633" s="7">
        <v>0.077</v>
      </c>
      <c r="K633" s="7">
        <v>3846.0</v>
      </c>
      <c r="L633" s="7">
        <v>2680.09</v>
      </c>
      <c r="M633" s="7">
        <v>4184.0</v>
      </c>
      <c r="N633" s="7">
        <v>0.641</v>
      </c>
      <c r="O633" s="8">
        <v>3838.0</v>
      </c>
      <c r="P633" s="7">
        <v>5382.99</v>
      </c>
      <c r="Q633" s="7">
        <v>2920267.0</v>
      </c>
      <c r="R633" s="7">
        <v>1.84</v>
      </c>
      <c r="S633" s="7">
        <v>9971.0</v>
      </c>
      <c r="T633" s="7">
        <v>8.57</v>
      </c>
      <c r="U633" s="7">
        <v>50.0</v>
      </c>
      <c r="V633" s="7">
        <v>0.17</v>
      </c>
      <c r="W633" s="7">
        <v>124.0</v>
      </c>
      <c r="X633" s="7">
        <v>161.62</v>
      </c>
      <c r="Y633" s="7">
        <v>152024.0</v>
      </c>
      <c r="Z633" s="7">
        <v>1.06</v>
      </c>
      <c r="AA633" s="7">
        <v>306.0</v>
      </c>
      <c r="AB633" s="7"/>
      <c r="AC633" s="7"/>
      <c r="AD633" s="7"/>
    </row>
    <row r="634" ht="15.75" customHeight="1">
      <c r="A634" s="6">
        <v>45194.0</v>
      </c>
      <c r="B634" s="7">
        <f t="shared" si="1"/>
        <v>25</v>
      </c>
      <c r="C634" s="7">
        <f t="shared" si="2"/>
        <v>9</v>
      </c>
      <c r="D634" s="7">
        <v>8605.6</v>
      </c>
      <c r="E634" s="7">
        <v>18549.0</v>
      </c>
      <c r="F634" s="7">
        <v>14831.0</v>
      </c>
      <c r="G634" s="7">
        <v>33380.0</v>
      </c>
      <c r="H634" s="7">
        <v>514.51</v>
      </c>
      <c r="I634" s="7">
        <v>4984.0</v>
      </c>
      <c r="J634" s="7">
        <v>0.103</v>
      </c>
      <c r="K634" s="7">
        <v>3578.0</v>
      </c>
      <c r="L634" s="7">
        <v>2431.21</v>
      </c>
      <c r="M634" s="7">
        <v>3530.0</v>
      </c>
      <c r="N634" s="7">
        <v>0.689</v>
      </c>
      <c r="O634" s="8">
        <v>3008.0</v>
      </c>
      <c r="P634" s="7">
        <v>5424.43</v>
      </c>
      <c r="Q634" s="7">
        <v>2999682.0</v>
      </c>
      <c r="R634" s="7">
        <v>1.81</v>
      </c>
      <c r="S634" s="7">
        <v>7780.0</v>
      </c>
      <c r="T634" s="7">
        <v>39.16</v>
      </c>
      <c r="U634" s="7">
        <v>294.0</v>
      </c>
      <c r="V634" s="7">
        <v>0.13</v>
      </c>
      <c r="W634" s="7">
        <v>230.0</v>
      </c>
      <c r="X634" s="7">
        <v>196.29</v>
      </c>
      <c r="Y634" s="7">
        <v>177566.0</v>
      </c>
      <c r="Z634" s="7">
        <v>1.11</v>
      </c>
      <c r="AA634" s="7">
        <v>262.0</v>
      </c>
      <c r="AB634" s="7"/>
      <c r="AC634" s="7"/>
      <c r="AD634" s="7"/>
    </row>
    <row r="635" ht="15.75" customHeight="1">
      <c r="A635" s="6">
        <v>45195.0</v>
      </c>
      <c r="B635" s="7">
        <f t="shared" si="1"/>
        <v>26</v>
      </c>
      <c r="C635" s="7">
        <f t="shared" si="2"/>
        <v>9</v>
      </c>
      <c r="D635" s="7">
        <v>9207.06</v>
      </c>
      <c r="E635" s="7">
        <v>16406.0</v>
      </c>
      <c r="F635" s="7">
        <v>17156.0</v>
      </c>
      <c r="G635" s="7">
        <v>33562.0</v>
      </c>
      <c r="H635" s="7">
        <v>480.57</v>
      </c>
      <c r="I635" s="7">
        <v>5191.0</v>
      </c>
      <c r="J635" s="7">
        <v>0.093</v>
      </c>
      <c r="K635" s="7">
        <v>4086.0</v>
      </c>
      <c r="L635" s="7">
        <v>2482.72</v>
      </c>
      <c r="M635" s="7">
        <v>3607.0</v>
      </c>
      <c r="N635" s="7">
        <v>0.688</v>
      </c>
      <c r="O635" s="8">
        <v>3321.0</v>
      </c>
      <c r="P635" s="7">
        <v>5915.33</v>
      </c>
      <c r="Q635" s="7">
        <v>2988845.0</v>
      </c>
      <c r="R635" s="7">
        <v>1.98</v>
      </c>
      <c r="S635" s="7">
        <v>9604.0</v>
      </c>
      <c r="T635" s="7">
        <v>21.31</v>
      </c>
      <c r="U635" s="7">
        <v>430.0</v>
      </c>
      <c r="V635" s="7">
        <v>0.05</v>
      </c>
      <c r="W635" s="7">
        <v>220.0</v>
      </c>
      <c r="X635" s="7">
        <v>307.13</v>
      </c>
      <c r="Y635" s="7">
        <v>241944.0</v>
      </c>
      <c r="Z635" s="7">
        <v>1.27</v>
      </c>
      <c r="AA635" s="7">
        <v>470.0</v>
      </c>
      <c r="AB635" s="7"/>
      <c r="AC635" s="7"/>
      <c r="AD635" s="7"/>
    </row>
    <row r="636" ht="15.75" customHeight="1">
      <c r="A636" s="6">
        <v>45196.0</v>
      </c>
      <c r="B636" s="7">
        <f t="shared" si="1"/>
        <v>27</v>
      </c>
      <c r="C636" s="7">
        <f t="shared" si="2"/>
        <v>9</v>
      </c>
      <c r="D636" s="7">
        <v>9116.44</v>
      </c>
      <c r="E636" s="7">
        <v>17602.0</v>
      </c>
      <c r="F636" s="7">
        <v>17596.0</v>
      </c>
      <c r="G636" s="7">
        <v>35198.0</v>
      </c>
      <c r="H636" s="7">
        <v>484.15</v>
      </c>
      <c r="I636" s="7">
        <v>5048.0</v>
      </c>
      <c r="J636" s="7">
        <v>0.096</v>
      </c>
      <c r="K636" s="7">
        <v>4047.0</v>
      </c>
      <c r="L636" s="7">
        <v>2339.69</v>
      </c>
      <c r="M636" s="7">
        <v>3403.0</v>
      </c>
      <c r="N636" s="7">
        <v>0.688</v>
      </c>
      <c r="O636" s="8">
        <v>3230.0</v>
      </c>
      <c r="P636" s="7">
        <v>5990.29</v>
      </c>
      <c r="Q636" s="7">
        <v>2980361.0</v>
      </c>
      <c r="R636" s="7">
        <v>2.01</v>
      </c>
      <c r="S636" s="7">
        <v>9648.0</v>
      </c>
      <c r="T636" s="7">
        <v>6.59</v>
      </c>
      <c r="U636" s="7">
        <v>71.0</v>
      </c>
      <c r="V636" s="7">
        <v>0.09</v>
      </c>
      <c r="W636" s="7">
        <v>223.0</v>
      </c>
      <c r="X636" s="7">
        <v>295.72</v>
      </c>
      <c r="Y636" s="7">
        <v>256157.0</v>
      </c>
      <c r="Z636" s="7">
        <v>1.15</v>
      </c>
      <c r="AA636" s="7">
        <v>507.0</v>
      </c>
      <c r="AB636" s="7"/>
      <c r="AC636" s="7"/>
      <c r="AD636" s="7"/>
    </row>
    <row r="637" ht="15.75" customHeight="1">
      <c r="A637" s="6">
        <v>45197.0</v>
      </c>
      <c r="B637" s="7">
        <f t="shared" si="1"/>
        <v>28</v>
      </c>
      <c r="C637" s="7">
        <f t="shared" si="2"/>
        <v>9</v>
      </c>
      <c r="D637" s="7">
        <v>9435.77</v>
      </c>
      <c r="E637" s="7">
        <v>18841.0</v>
      </c>
      <c r="F637" s="7">
        <v>16081.0</v>
      </c>
      <c r="G637" s="7">
        <v>34922.0</v>
      </c>
      <c r="H637" s="7">
        <v>460.75</v>
      </c>
      <c r="I637" s="7">
        <v>5190.0</v>
      </c>
      <c r="J637" s="7">
        <v>0.089</v>
      </c>
      <c r="K637" s="7">
        <v>3958.0</v>
      </c>
      <c r="L637" s="7">
        <v>2526.11</v>
      </c>
      <c r="M637" s="7">
        <v>3555.0</v>
      </c>
      <c r="N637" s="7">
        <v>0.711</v>
      </c>
      <c r="O637" s="8">
        <v>3097.0</v>
      </c>
      <c r="P637" s="7">
        <v>6056.75</v>
      </c>
      <c r="Q637" s="7">
        <v>2886225.0</v>
      </c>
      <c r="R637" s="7">
        <v>2.1</v>
      </c>
      <c r="S637" s="7">
        <v>8182.0</v>
      </c>
      <c r="T637" s="7">
        <v>62.97</v>
      </c>
      <c r="U637" s="7">
        <v>324.0</v>
      </c>
      <c r="V637" s="7">
        <v>0.19</v>
      </c>
      <c r="W637" s="7">
        <v>308.0</v>
      </c>
      <c r="X637" s="7">
        <v>329.19</v>
      </c>
      <c r="Y637" s="7">
        <v>288299.0</v>
      </c>
      <c r="Z637" s="7">
        <v>1.14</v>
      </c>
      <c r="AA637" s="7">
        <v>400.0</v>
      </c>
      <c r="AB637" s="7"/>
      <c r="AC637" s="7"/>
      <c r="AD637" s="7"/>
    </row>
    <row r="638" ht="15.75" customHeight="1">
      <c r="A638" s="6">
        <v>45198.0</v>
      </c>
      <c r="B638" s="7">
        <f t="shared" si="1"/>
        <v>29</v>
      </c>
      <c r="C638" s="7">
        <f t="shared" si="2"/>
        <v>9</v>
      </c>
      <c r="D638" s="7">
        <v>9410.77</v>
      </c>
      <c r="E638" s="7">
        <v>16540.0</v>
      </c>
      <c r="F638" s="7">
        <v>15181.0</v>
      </c>
      <c r="G638" s="7">
        <v>31721.0</v>
      </c>
      <c r="H638" s="7">
        <v>420.82</v>
      </c>
      <c r="I638" s="7">
        <v>4730.0</v>
      </c>
      <c r="J638" s="7">
        <v>0.089</v>
      </c>
      <c r="K638" s="7">
        <v>3688.0</v>
      </c>
      <c r="L638" s="7">
        <v>2114.95</v>
      </c>
      <c r="M638" s="7">
        <v>3132.0</v>
      </c>
      <c r="N638" s="7">
        <v>0.675</v>
      </c>
      <c r="O638" s="8">
        <v>2772.0</v>
      </c>
      <c r="P638" s="7">
        <v>6112.55</v>
      </c>
      <c r="Q638" s="7">
        <v>2781751.0</v>
      </c>
      <c r="R638" s="7">
        <v>2.2</v>
      </c>
      <c r="S638" s="7">
        <v>7577.0</v>
      </c>
      <c r="T638" s="7">
        <v>474.11</v>
      </c>
      <c r="U638" s="7">
        <v>1140.0</v>
      </c>
      <c r="V638" s="7">
        <v>0.42</v>
      </c>
      <c r="W638" s="7">
        <v>678.0</v>
      </c>
      <c r="X638" s="7">
        <v>288.34</v>
      </c>
      <c r="Y638" s="7">
        <v>211108.0</v>
      </c>
      <c r="Z638" s="7">
        <v>1.37</v>
      </c>
      <c r="AA638" s="7">
        <v>320.0</v>
      </c>
      <c r="AB638" s="7"/>
      <c r="AC638" s="7"/>
      <c r="AD638" s="7"/>
    </row>
    <row r="639" ht="15.75" customHeight="1">
      <c r="A639" s="6">
        <v>45199.0</v>
      </c>
      <c r="B639" s="7">
        <f t="shared" si="1"/>
        <v>30</v>
      </c>
      <c r="C639" s="7">
        <f t="shared" si="2"/>
        <v>9</v>
      </c>
      <c r="D639" s="7">
        <v>11103.72</v>
      </c>
      <c r="E639" s="7">
        <v>15216.0</v>
      </c>
      <c r="F639" s="7">
        <v>17441.0</v>
      </c>
      <c r="G639" s="7">
        <v>32657.0</v>
      </c>
      <c r="H639" s="7">
        <v>411.16</v>
      </c>
      <c r="I639" s="7">
        <v>4997.0</v>
      </c>
      <c r="J639" s="7">
        <v>0.082</v>
      </c>
      <c r="K639" s="7">
        <v>3758.0</v>
      </c>
      <c r="L639" s="7">
        <v>2568.22</v>
      </c>
      <c r="M639" s="7">
        <v>3773.0</v>
      </c>
      <c r="N639" s="7">
        <v>0.681</v>
      </c>
      <c r="O639" s="8">
        <v>3209.0</v>
      </c>
      <c r="P639" s="7">
        <v>6766.72</v>
      </c>
      <c r="Q639" s="7">
        <v>3131840.0</v>
      </c>
      <c r="R639" s="7">
        <v>2.16</v>
      </c>
      <c r="S639" s="7">
        <v>9287.0</v>
      </c>
      <c r="T639" s="7">
        <v>1060.28</v>
      </c>
      <c r="U639" s="7">
        <v>2655.0</v>
      </c>
      <c r="V639" s="7">
        <v>0.4</v>
      </c>
      <c r="W639" s="7">
        <v>1058.0</v>
      </c>
      <c r="X639" s="7">
        <v>297.34</v>
      </c>
      <c r="Y639" s="7">
        <v>216327.0</v>
      </c>
      <c r="Z639" s="7">
        <v>1.37</v>
      </c>
      <c r="AA639" s="7">
        <v>363.0</v>
      </c>
      <c r="AB639" s="7"/>
      <c r="AC639" s="7"/>
      <c r="AD639" s="7"/>
    </row>
    <row r="640" ht="15.75" customHeight="1">
      <c r="A640" s="6">
        <v>45200.0</v>
      </c>
      <c r="B640" s="7">
        <f t="shared" si="1"/>
        <v>1</v>
      </c>
      <c r="C640" s="7">
        <f t="shared" si="2"/>
        <v>10</v>
      </c>
      <c r="D640" s="7">
        <v>9418.89</v>
      </c>
      <c r="E640" s="7">
        <v>16787.0</v>
      </c>
      <c r="F640" s="7">
        <v>17393.0</v>
      </c>
      <c r="G640" s="7">
        <v>34180.0</v>
      </c>
      <c r="H640" s="7">
        <v>405.34</v>
      </c>
      <c r="I640" s="7">
        <v>5282.0</v>
      </c>
      <c r="J640" s="7">
        <v>0.077</v>
      </c>
      <c r="K640" s="7">
        <v>3778.0</v>
      </c>
      <c r="L640" s="7">
        <v>3206.97</v>
      </c>
      <c r="M640" s="7">
        <v>4903.0</v>
      </c>
      <c r="N640" s="7">
        <v>0.654</v>
      </c>
      <c r="O640" s="8">
        <v>3946.0</v>
      </c>
      <c r="P640" s="7">
        <v>5295.7</v>
      </c>
      <c r="Q640" s="7">
        <v>3401893.0</v>
      </c>
      <c r="R640" s="7">
        <v>1.56</v>
      </c>
      <c r="S640" s="7">
        <v>8773.0</v>
      </c>
      <c r="T640" s="7">
        <v>152.79</v>
      </c>
      <c r="U640" s="7">
        <v>479.0</v>
      </c>
      <c r="V640" s="7">
        <v>0.32</v>
      </c>
      <c r="W640" s="7">
        <v>428.0</v>
      </c>
      <c r="X640" s="7">
        <v>358.09</v>
      </c>
      <c r="Y640" s="7">
        <v>301651.0</v>
      </c>
      <c r="Z640" s="7">
        <v>1.19</v>
      </c>
      <c r="AA640" s="7">
        <v>536.0</v>
      </c>
      <c r="AB640" s="7"/>
      <c r="AC640" s="7"/>
      <c r="AD640" s="7"/>
    </row>
    <row r="641" ht="15.75" customHeight="1">
      <c r="A641" s="6">
        <v>45201.0</v>
      </c>
      <c r="B641" s="7">
        <f t="shared" si="1"/>
        <v>2</v>
      </c>
      <c r="C641" s="7">
        <f t="shared" si="2"/>
        <v>10</v>
      </c>
      <c r="D641" s="7">
        <v>9271.35</v>
      </c>
      <c r="E641" s="7">
        <v>19039.0</v>
      </c>
      <c r="F641" s="7">
        <v>14356.0</v>
      </c>
      <c r="G641" s="7">
        <v>33395.0</v>
      </c>
      <c r="H641" s="7">
        <v>505.5</v>
      </c>
      <c r="I641" s="7">
        <v>5241.0</v>
      </c>
      <c r="J641" s="7">
        <v>0.096</v>
      </c>
      <c r="K641" s="7">
        <v>3743.0</v>
      </c>
      <c r="L641" s="7">
        <v>3039.03</v>
      </c>
      <c r="M641" s="7">
        <v>4012.0</v>
      </c>
      <c r="N641" s="7">
        <v>0.757</v>
      </c>
      <c r="O641" s="8">
        <v>3064.0</v>
      </c>
      <c r="P641" s="7">
        <v>5270.41</v>
      </c>
      <c r="Q641" s="7">
        <v>3488078.0</v>
      </c>
      <c r="R641" s="7">
        <v>1.51</v>
      </c>
      <c r="S641" s="7">
        <v>7005.0</v>
      </c>
      <c r="T641" s="7">
        <v>145.67</v>
      </c>
      <c r="U641" s="7">
        <v>391.0</v>
      </c>
      <c r="V641" s="7">
        <v>0.37</v>
      </c>
      <c r="W641" s="7">
        <v>385.0</v>
      </c>
      <c r="X641" s="7">
        <v>310.74</v>
      </c>
      <c r="Y641" s="7">
        <v>295948.0</v>
      </c>
      <c r="Z641" s="7">
        <v>1.05</v>
      </c>
      <c r="AA641" s="7">
        <v>325.0</v>
      </c>
      <c r="AB641" s="7"/>
      <c r="AC641" s="7"/>
      <c r="AD641" s="7"/>
    </row>
    <row r="642" ht="15.75" customHeight="1">
      <c r="A642" s="6">
        <v>45202.0</v>
      </c>
      <c r="B642" s="7">
        <f t="shared" si="1"/>
        <v>3</v>
      </c>
      <c r="C642" s="7">
        <f t="shared" si="2"/>
        <v>10</v>
      </c>
      <c r="D642" s="7">
        <v>10042.79</v>
      </c>
      <c r="E642" s="7">
        <v>16496.0</v>
      </c>
      <c r="F642" s="7">
        <v>17540.0</v>
      </c>
      <c r="G642" s="7">
        <v>34036.0</v>
      </c>
      <c r="H642" s="7">
        <v>500.63</v>
      </c>
      <c r="I642" s="7">
        <v>5135.0</v>
      </c>
      <c r="J642" s="7">
        <v>0.097</v>
      </c>
      <c r="K642" s="7">
        <v>3939.0</v>
      </c>
      <c r="L642" s="7">
        <v>2678.81</v>
      </c>
      <c r="M642" s="7">
        <v>3736.0</v>
      </c>
      <c r="N642" s="7">
        <v>0.717</v>
      </c>
      <c r="O642" s="8">
        <v>3499.0</v>
      </c>
      <c r="P642" s="7">
        <v>6407.64</v>
      </c>
      <c r="Q642" s="7">
        <v>3652120.0</v>
      </c>
      <c r="R642" s="7">
        <v>1.75</v>
      </c>
      <c r="S642" s="7">
        <v>9159.0</v>
      </c>
      <c r="T642" s="7">
        <v>111.62</v>
      </c>
      <c r="U642" s="7">
        <v>285.0</v>
      </c>
      <c r="V642" s="7">
        <v>0.39</v>
      </c>
      <c r="W642" s="7">
        <v>355.0</v>
      </c>
      <c r="X642" s="7">
        <v>344.09</v>
      </c>
      <c r="Y642" s="7">
        <v>381851.0</v>
      </c>
      <c r="Z642" s="7">
        <v>0.9</v>
      </c>
      <c r="AA642" s="7">
        <v>506.0</v>
      </c>
      <c r="AB642" s="7"/>
      <c r="AC642" s="7"/>
      <c r="AD642" s="7"/>
    </row>
    <row r="643" ht="15.75" customHeight="1">
      <c r="A643" s="6">
        <v>45203.0</v>
      </c>
      <c r="B643" s="7">
        <f t="shared" si="1"/>
        <v>4</v>
      </c>
      <c r="C643" s="7">
        <f t="shared" si="2"/>
        <v>10</v>
      </c>
      <c r="D643" s="7">
        <v>10332.07</v>
      </c>
      <c r="E643" s="7">
        <v>17438.0</v>
      </c>
      <c r="F643" s="7">
        <v>15643.0</v>
      </c>
      <c r="G643" s="7">
        <v>33081.0</v>
      </c>
      <c r="H643" s="7">
        <v>433.16</v>
      </c>
      <c r="I643" s="7">
        <v>4783.0</v>
      </c>
      <c r="J643" s="7">
        <v>0.091</v>
      </c>
      <c r="K643" s="7">
        <v>3621.0</v>
      </c>
      <c r="L643" s="7">
        <v>2537.77</v>
      </c>
      <c r="M643" s="7">
        <v>3276.0</v>
      </c>
      <c r="N643" s="7">
        <v>0.775</v>
      </c>
      <c r="O643" s="8">
        <v>2773.0</v>
      </c>
      <c r="P643" s="7">
        <v>6696.89</v>
      </c>
      <c r="Q643" s="7">
        <v>3534659.0</v>
      </c>
      <c r="R643" s="7">
        <v>1.89</v>
      </c>
      <c r="S643" s="7">
        <v>8431.0</v>
      </c>
      <c r="T643" s="7">
        <v>203.82</v>
      </c>
      <c r="U643" s="7">
        <v>2295.0</v>
      </c>
      <c r="V643" s="7">
        <v>0.09</v>
      </c>
      <c r="W643" s="7">
        <v>723.0</v>
      </c>
      <c r="X643" s="7">
        <v>460.43</v>
      </c>
      <c r="Y643" s="7">
        <v>473181.0</v>
      </c>
      <c r="Z643" s="7">
        <v>0.97</v>
      </c>
      <c r="AA643" s="7">
        <v>407.0</v>
      </c>
      <c r="AB643" s="7"/>
      <c r="AC643" s="7"/>
      <c r="AD643" s="7"/>
    </row>
    <row r="644" ht="15.75" customHeight="1">
      <c r="A644" s="6">
        <v>45204.0</v>
      </c>
      <c r="B644" s="7">
        <f t="shared" si="1"/>
        <v>5</v>
      </c>
      <c r="C644" s="7">
        <f t="shared" si="2"/>
        <v>10</v>
      </c>
      <c r="D644" s="7">
        <v>10347.28</v>
      </c>
      <c r="E644" s="7">
        <v>16726.0</v>
      </c>
      <c r="F644" s="7">
        <v>15980.0</v>
      </c>
      <c r="G644" s="7">
        <v>32706.0</v>
      </c>
      <c r="H644" s="7">
        <v>387.13</v>
      </c>
      <c r="I644" s="7">
        <v>4417.0</v>
      </c>
      <c r="J644" s="7">
        <v>0.088</v>
      </c>
      <c r="K644" s="7">
        <v>3450.0</v>
      </c>
      <c r="L644" s="7">
        <v>2559.42</v>
      </c>
      <c r="M644" s="7">
        <v>3473.0</v>
      </c>
      <c r="N644" s="7">
        <v>0.737</v>
      </c>
      <c r="O644" s="8">
        <v>2969.0</v>
      </c>
      <c r="P644" s="7">
        <v>6693.03</v>
      </c>
      <c r="Q644" s="7">
        <v>3640736.0</v>
      </c>
      <c r="R644" s="7">
        <v>1.84</v>
      </c>
      <c r="S644" s="7">
        <v>8754.0</v>
      </c>
      <c r="T644" s="7">
        <v>217.41</v>
      </c>
      <c r="U644" s="7">
        <v>2524.0</v>
      </c>
      <c r="V644" s="7">
        <v>0.09</v>
      </c>
      <c r="W644" s="7">
        <v>702.0</v>
      </c>
      <c r="X644" s="7">
        <v>490.29</v>
      </c>
      <c r="Y644" s="7">
        <v>440186.0</v>
      </c>
      <c r="Z644" s="7">
        <v>1.11</v>
      </c>
      <c r="AA644" s="7">
        <v>434.0</v>
      </c>
      <c r="AB644" s="7"/>
      <c r="AC644" s="7"/>
      <c r="AD644" s="7"/>
    </row>
    <row r="645" ht="15.75" customHeight="1">
      <c r="A645" s="6">
        <v>45205.0</v>
      </c>
      <c r="B645" s="7">
        <f t="shared" si="1"/>
        <v>6</v>
      </c>
      <c r="C645" s="7">
        <f t="shared" si="2"/>
        <v>10</v>
      </c>
      <c r="D645" s="7">
        <v>10686.08</v>
      </c>
      <c r="E645" s="7">
        <v>12339.0</v>
      </c>
      <c r="F645" s="7">
        <v>16692.0</v>
      </c>
      <c r="G645" s="7">
        <v>29031.0</v>
      </c>
      <c r="H645" s="7">
        <v>356.41</v>
      </c>
      <c r="I645" s="7">
        <v>4241.0</v>
      </c>
      <c r="J645" s="7">
        <v>0.084</v>
      </c>
      <c r="K645" s="7">
        <v>3418.0</v>
      </c>
      <c r="L645" s="7">
        <v>2537.0</v>
      </c>
      <c r="M645" s="7">
        <v>3189.0</v>
      </c>
      <c r="N645" s="7">
        <v>0.796</v>
      </c>
      <c r="O645" s="8">
        <v>2965.0</v>
      </c>
      <c r="P645" s="7">
        <v>6930.53</v>
      </c>
      <c r="Q645" s="7">
        <v>3620711.0</v>
      </c>
      <c r="R645" s="7">
        <v>1.91</v>
      </c>
      <c r="S645" s="7">
        <v>9110.0</v>
      </c>
      <c r="T645" s="7">
        <v>291.82</v>
      </c>
      <c r="U645" s="7">
        <v>3515.0</v>
      </c>
      <c r="V645" s="7">
        <v>0.08</v>
      </c>
      <c r="W645" s="7">
        <v>797.0</v>
      </c>
      <c r="X645" s="7">
        <v>570.32</v>
      </c>
      <c r="Y645" s="7">
        <v>486701.0</v>
      </c>
      <c r="Z645" s="7">
        <v>1.17</v>
      </c>
      <c r="AA645" s="7">
        <v>501.0</v>
      </c>
      <c r="AB645" s="7"/>
      <c r="AC645" s="7"/>
      <c r="AD645" s="7"/>
    </row>
    <row r="646" ht="15.75" customHeight="1">
      <c r="A646" s="6">
        <v>45206.0</v>
      </c>
      <c r="B646" s="7">
        <f t="shared" si="1"/>
        <v>7</v>
      </c>
      <c r="C646" s="7">
        <f t="shared" si="2"/>
        <v>10</v>
      </c>
      <c r="D646" s="7">
        <v>11407.65</v>
      </c>
      <c r="E646" s="7">
        <v>12408.0</v>
      </c>
      <c r="F646" s="7">
        <v>18481.0</v>
      </c>
      <c r="G646" s="7">
        <v>30889.0</v>
      </c>
      <c r="H646" s="7">
        <v>331.98</v>
      </c>
      <c r="I646" s="7">
        <v>4258.0</v>
      </c>
      <c r="J646" s="7">
        <v>0.078</v>
      </c>
      <c r="K646" s="7">
        <v>3227.0</v>
      </c>
      <c r="L646" s="7">
        <v>2844.19</v>
      </c>
      <c r="M646" s="7">
        <v>3772.0</v>
      </c>
      <c r="N646" s="7">
        <v>0.754</v>
      </c>
      <c r="O646" s="8">
        <v>3331.0</v>
      </c>
      <c r="P646" s="7">
        <v>7527.0</v>
      </c>
      <c r="Q646" s="7">
        <v>4040908.0</v>
      </c>
      <c r="R646" s="7">
        <v>1.86</v>
      </c>
      <c r="S646" s="7">
        <v>10525.0</v>
      </c>
      <c r="T646" s="7">
        <v>226.13</v>
      </c>
      <c r="U646" s="7">
        <v>3482.0</v>
      </c>
      <c r="V646" s="7">
        <v>0.06</v>
      </c>
      <c r="W646" s="7">
        <v>805.0</v>
      </c>
      <c r="X646" s="7">
        <v>478.35</v>
      </c>
      <c r="Y646" s="7">
        <v>380245.0</v>
      </c>
      <c r="Z646" s="7">
        <v>1.26</v>
      </c>
      <c r="AA646" s="7">
        <v>427.0</v>
      </c>
      <c r="AB646" s="7"/>
      <c r="AC646" s="7"/>
      <c r="AD646" s="7"/>
    </row>
    <row r="647" ht="15.75" customHeight="1">
      <c r="A647" s="6">
        <v>45207.0</v>
      </c>
      <c r="B647" s="7">
        <f t="shared" si="1"/>
        <v>8</v>
      </c>
      <c r="C647" s="7">
        <f t="shared" si="2"/>
        <v>10</v>
      </c>
      <c r="D647" s="7">
        <v>13072.46</v>
      </c>
      <c r="E647" s="7">
        <v>14579.0</v>
      </c>
      <c r="F647" s="7">
        <v>22678.0</v>
      </c>
      <c r="G647" s="7">
        <v>37257.0</v>
      </c>
      <c r="H647" s="7">
        <v>392.23</v>
      </c>
      <c r="I647" s="7">
        <v>5183.0</v>
      </c>
      <c r="J647" s="7">
        <v>0.076</v>
      </c>
      <c r="K647" s="7">
        <v>4041.0</v>
      </c>
      <c r="L647" s="7">
        <v>3605.6</v>
      </c>
      <c r="M647" s="7">
        <v>5089.0</v>
      </c>
      <c r="N647" s="7">
        <v>0.709</v>
      </c>
      <c r="O647" s="8">
        <v>4470.0</v>
      </c>
      <c r="P647" s="7">
        <v>8254.92</v>
      </c>
      <c r="Q647" s="7">
        <v>4898888.0</v>
      </c>
      <c r="R647" s="7">
        <v>1.69</v>
      </c>
      <c r="S647" s="7">
        <v>12781.0</v>
      </c>
      <c r="T647" s="7">
        <v>244.29</v>
      </c>
      <c r="U647" s="7">
        <v>2765.0</v>
      </c>
      <c r="V647" s="7">
        <v>0.09</v>
      </c>
      <c r="W647" s="7">
        <v>838.0</v>
      </c>
      <c r="X647" s="7">
        <v>575.42</v>
      </c>
      <c r="Y647" s="7">
        <v>492193.0</v>
      </c>
      <c r="Z647" s="7">
        <v>1.17</v>
      </c>
      <c r="AA647" s="7">
        <v>580.0</v>
      </c>
      <c r="AB647" s="7"/>
      <c r="AC647" s="7"/>
      <c r="AD647" s="7"/>
    </row>
    <row r="648" ht="15.75" customHeight="1">
      <c r="A648" s="6">
        <v>45208.0</v>
      </c>
      <c r="B648" s="7">
        <f t="shared" si="1"/>
        <v>9</v>
      </c>
      <c r="C648" s="7">
        <f t="shared" si="2"/>
        <v>10</v>
      </c>
      <c r="D648" s="7">
        <v>13108.44</v>
      </c>
      <c r="E648" s="7">
        <v>17658.0</v>
      </c>
      <c r="F648" s="7">
        <v>19503.0</v>
      </c>
      <c r="G648" s="7">
        <v>37161.0</v>
      </c>
      <c r="H648" s="7">
        <v>483.21</v>
      </c>
      <c r="I648" s="7">
        <v>5245.0</v>
      </c>
      <c r="J648" s="7">
        <v>0.092</v>
      </c>
      <c r="K648" s="7">
        <v>4036.0</v>
      </c>
      <c r="L648" s="7">
        <v>3748.07</v>
      </c>
      <c r="M648" s="7">
        <v>4621.0</v>
      </c>
      <c r="N648" s="7">
        <v>0.811</v>
      </c>
      <c r="O648" s="8">
        <v>3833.0</v>
      </c>
      <c r="P648" s="7">
        <v>8194.49</v>
      </c>
      <c r="Q648" s="7">
        <v>4905352.0</v>
      </c>
      <c r="R648" s="7">
        <v>1.67</v>
      </c>
      <c r="S648" s="7">
        <v>10903.0</v>
      </c>
      <c r="T648" s="7">
        <v>265.38</v>
      </c>
      <c r="U648" s="7">
        <v>2521.0</v>
      </c>
      <c r="V648" s="7">
        <v>0.11</v>
      </c>
      <c r="W648" s="7">
        <v>799.0</v>
      </c>
      <c r="X648" s="7">
        <v>417.29</v>
      </c>
      <c r="Y648" s="7">
        <v>368395.0</v>
      </c>
      <c r="Z648" s="7">
        <v>1.13</v>
      </c>
      <c r="AA648" s="7">
        <v>375.0</v>
      </c>
      <c r="AB648" s="7"/>
      <c r="AC648" s="7"/>
      <c r="AD648" s="7"/>
    </row>
    <row r="649" ht="15.75" customHeight="1">
      <c r="A649" s="6">
        <v>45209.0</v>
      </c>
      <c r="B649" s="7">
        <f t="shared" si="1"/>
        <v>10</v>
      </c>
      <c r="C649" s="7">
        <f t="shared" si="2"/>
        <v>10</v>
      </c>
      <c r="D649" s="7">
        <v>12875.23</v>
      </c>
      <c r="E649" s="7">
        <v>15890.0</v>
      </c>
      <c r="F649" s="7">
        <v>20140.0</v>
      </c>
      <c r="G649" s="7">
        <v>36030.0</v>
      </c>
      <c r="H649" s="7">
        <v>452.95</v>
      </c>
      <c r="I649" s="7">
        <v>5017.0</v>
      </c>
      <c r="J649" s="7">
        <v>0.09</v>
      </c>
      <c r="K649" s="7">
        <v>4063.0</v>
      </c>
      <c r="L649" s="7">
        <v>3521.6</v>
      </c>
      <c r="M649" s="7">
        <v>4489.0</v>
      </c>
      <c r="N649" s="7">
        <v>0.784</v>
      </c>
      <c r="O649" s="8">
        <v>3898.0</v>
      </c>
      <c r="P649" s="7">
        <v>7809.94</v>
      </c>
      <c r="Q649" s="7">
        <v>4178034.0</v>
      </c>
      <c r="R649" s="7">
        <v>1.87</v>
      </c>
      <c r="S649" s="7">
        <v>10132.0</v>
      </c>
      <c r="T649" s="7">
        <v>362.32</v>
      </c>
      <c r="U649" s="7">
        <v>2879.0</v>
      </c>
      <c r="V649" s="7">
        <v>0.13</v>
      </c>
      <c r="W649" s="7">
        <v>1032.0</v>
      </c>
      <c r="X649" s="7">
        <v>728.42</v>
      </c>
      <c r="Y649" s="7">
        <v>584310.0</v>
      </c>
      <c r="Z649" s="7">
        <v>1.25</v>
      </c>
      <c r="AA649" s="7">
        <v>1610.0</v>
      </c>
      <c r="AB649" s="7"/>
      <c r="AC649" s="7"/>
      <c r="AD649" s="7"/>
    </row>
    <row r="650" ht="15.75" customHeight="1">
      <c r="A650" s="6">
        <v>45210.0</v>
      </c>
      <c r="B650" s="7">
        <f t="shared" si="1"/>
        <v>11</v>
      </c>
      <c r="C650" s="7">
        <f t="shared" si="2"/>
        <v>10</v>
      </c>
      <c r="D650" s="7">
        <v>12544.0</v>
      </c>
      <c r="E650" s="7">
        <v>15570.0</v>
      </c>
      <c r="F650" s="7">
        <v>19282.0</v>
      </c>
      <c r="G650" s="7">
        <v>34852.0</v>
      </c>
      <c r="H650" s="7">
        <v>362.65</v>
      </c>
      <c r="I650" s="7">
        <v>4793.0</v>
      </c>
      <c r="J650" s="7">
        <v>0.076</v>
      </c>
      <c r="K650" s="7">
        <v>3951.0</v>
      </c>
      <c r="L650" s="7">
        <v>3545.73</v>
      </c>
      <c r="M650" s="7">
        <v>4350.0</v>
      </c>
      <c r="N650" s="7">
        <v>0.815</v>
      </c>
      <c r="O650" s="8">
        <v>3823.0</v>
      </c>
      <c r="P650" s="7">
        <v>7625.92</v>
      </c>
      <c r="Q650" s="7">
        <v>3940767.0</v>
      </c>
      <c r="R650" s="7">
        <v>1.94</v>
      </c>
      <c r="S650" s="7">
        <v>9749.0</v>
      </c>
      <c r="T650" s="7">
        <v>441.96</v>
      </c>
      <c r="U650" s="7">
        <v>3520.0</v>
      </c>
      <c r="V650" s="7">
        <v>0.13</v>
      </c>
      <c r="W650" s="7">
        <v>918.0</v>
      </c>
      <c r="X650" s="7">
        <v>567.74</v>
      </c>
      <c r="Y650" s="7">
        <v>465868.0</v>
      </c>
      <c r="Z650" s="7">
        <v>1.22</v>
      </c>
      <c r="AA650" s="7">
        <v>1021.0</v>
      </c>
      <c r="AB650" s="7"/>
      <c r="AC650" s="7"/>
      <c r="AD650" s="7"/>
    </row>
    <row r="651" ht="15.75" customHeight="1">
      <c r="A651" s="6">
        <v>45211.0</v>
      </c>
      <c r="B651" s="7">
        <f t="shared" si="1"/>
        <v>12</v>
      </c>
      <c r="C651" s="7">
        <f t="shared" si="2"/>
        <v>10</v>
      </c>
      <c r="D651" s="7">
        <v>12637.61</v>
      </c>
      <c r="E651" s="7">
        <v>16573.0</v>
      </c>
      <c r="F651" s="7">
        <v>17549.0</v>
      </c>
      <c r="G651" s="7">
        <v>34122.0</v>
      </c>
      <c r="H651" s="7">
        <v>332.95</v>
      </c>
      <c r="I651" s="7">
        <v>4312.0</v>
      </c>
      <c r="J651" s="7">
        <v>0.077</v>
      </c>
      <c r="K651" s="7">
        <v>3264.0</v>
      </c>
      <c r="L651" s="7">
        <v>3538.0</v>
      </c>
      <c r="M651" s="7">
        <v>4477.0</v>
      </c>
      <c r="N651" s="7">
        <v>0.79</v>
      </c>
      <c r="O651" s="8">
        <v>3507.0</v>
      </c>
      <c r="P651" s="7">
        <v>7693.07</v>
      </c>
      <c r="Q651" s="7">
        <v>3968169.0</v>
      </c>
      <c r="R651" s="7">
        <v>1.94</v>
      </c>
      <c r="S651" s="7">
        <v>9171.0</v>
      </c>
      <c r="T651" s="7">
        <v>448.87</v>
      </c>
      <c r="U651" s="7">
        <v>5219.0</v>
      </c>
      <c r="V651" s="7">
        <v>0.09</v>
      </c>
      <c r="W651" s="7">
        <v>1026.0</v>
      </c>
      <c r="X651" s="7">
        <v>624.72</v>
      </c>
      <c r="Y651" s="7">
        <v>527252.0</v>
      </c>
      <c r="Z651" s="7">
        <v>1.18</v>
      </c>
      <c r="AA651" s="7">
        <v>858.0</v>
      </c>
      <c r="AB651" s="7"/>
      <c r="AC651" s="7"/>
      <c r="AD651" s="7"/>
    </row>
    <row r="652" ht="15.75" customHeight="1">
      <c r="A652" s="6">
        <v>45212.0</v>
      </c>
      <c r="B652" s="7">
        <f t="shared" si="1"/>
        <v>13</v>
      </c>
      <c r="C652" s="7">
        <f t="shared" si="2"/>
        <v>10</v>
      </c>
      <c r="D652" s="7">
        <v>12350.34</v>
      </c>
      <c r="E652" s="7">
        <v>14120.0</v>
      </c>
      <c r="F652" s="7">
        <v>17676.0</v>
      </c>
      <c r="G652" s="7">
        <v>31796.0</v>
      </c>
      <c r="H652" s="7">
        <v>318.71</v>
      </c>
      <c r="I652" s="7">
        <v>3937.0</v>
      </c>
      <c r="J652" s="7">
        <v>0.081</v>
      </c>
      <c r="K652" s="7">
        <v>3122.0</v>
      </c>
      <c r="L652" s="7">
        <v>3176.65</v>
      </c>
      <c r="M652" s="7">
        <v>3918.0</v>
      </c>
      <c r="N652" s="7">
        <v>0.811</v>
      </c>
      <c r="O652" s="8">
        <v>3387.0</v>
      </c>
      <c r="P652" s="7">
        <v>7768.72</v>
      </c>
      <c r="Q652" s="7">
        <v>3828011.0</v>
      </c>
      <c r="R652" s="7">
        <v>2.03</v>
      </c>
      <c r="S652" s="7">
        <v>9790.0</v>
      </c>
      <c r="T652" s="7">
        <v>430.93</v>
      </c>
      <c r="U652" s="7">
        <v>2235.0</v>
      </c>
      <c r="V652" s="7">
        <v>0.19</v>
      </c>
      <c r="W652" s="7">
        <v>682.0</v>
      </c>
      <c r="X652" s="7">
        <v>655.33</v>
      </c>
      <c r="Y652" s="7">
        <v>559687.0</v>
      </c>
      <c r="Z652" s="7">
        <v>1.17</v>
      </c>
      <c r="AA652" s="7">
        <v>791.0</v>
      </c>
      <c r="AB652" s="7"/>
      <c r="AC652" s="7"/>
      <c r="AD652" s="7"/>
    </row>
    <row r="653" ht="15.75" customHeight="1">
      <c r="A653" s="6">
        <v>45213.0</v>
      </c>
      <c r="B653" s="7">
        <f t="shared" si="1"/>
        <v>14</v>
      </c>
      <c r="C653" s="7">
        <f t="shared" si="2"/>
        <v>10</v>
      </c>
      <c r="D653" s="7">
        <v>12910.8</v>
      </c>
      <c r="E653" s="7">
        <v>13040.0</v>
      </c>
      <c r="F653" s="7">
        <v>19400.0</v>
      </c>
      <c r="G653" s="7">
        <v>32440.0</v>
      </c>
      <c r="H653" s="7">
        <v>278.4</v>
      </c>
      <c r="I653" s="7">
        <v>4328.0</v>
      </c>
      <c r="J653" s="7">
        <v>0.064</v>
      </c>
      <c r="K653" s="7">
        <v>3349.0</v>
      </c>
      <c r="L653" s="7">
        <v>3370.8</v>
      </c>
      <c r="M653" s="7">
        <v>4438.0</v>
      </c>
      <c r="N653" s="7">
        <v>0.76</v>
      </c>
      <c r="O653" s="8">
        <v>3906.0</v>
      </c>
      <c r="P653" s="7">
        <v>8201.47</v>
      </c>
      <c r="Q653" s="7">
        <v>4056532.0</v>
      </c>
      <c r="R653" s="7">
        <v>2.02</v>
      </c>
      <c r="S653" s="7">
        <v>10591.0</v>
      </c>
      <c r="T653" s="7">
        <v>432.01</v>
      </c>
      <c r="U653" s="7">
        <v>2484.0</v>
      </c>
      <c r="V653" s="7">
        <v>0.17</v>
      </c>
      <c r="W653" s="7">
        <v>812.0</v>
      </c>
      <c r="X653" s="7">
        <v>628.12</v>
      </c>
      <c r="Y653" s="7">
        <v>493965.0</v>
      </c>
      <c r="Z653" s="7">
        <v>1.27</v>
      </c>
      <c r="AA653" s="7">
        <v>859.0</v>
      </c>
      <c r="AB653" s="7"/>
      <c r="AC653" s="7"/>
      <c r="AD653" s="7"/>
    </row>
    <row r="654" ht="15.75" customHeight="1">
      <c r="A654" s="6">
        <v>45214.0</v>
      </c>
      <c r="B654" s="7">
        <f t="shared" si="1"/>
        <v>15</v>
      </c>
      <c r="C654" s="7">
        <f t="shared" si="2"/>
        <v>10</v>
      </c>
      <c r="D654" s="7">
        <v>14285.8</v>
      </c>
      <c r="E654" s="7">
        <v>15794.0</v>
      </c>
      <c r="F654" s="7">
        <v>22650.0</v>
      </c>
      <c r="G654" s="7">
        <v>38444.0</v>
      </c>
      <c r="H654" s="7">
        <v>343.98</v>
      </c>
      <c r="I654" s="7">
        <v>4816.0</v>
      </c>
      <c r="J654" s="7">
        <v>0.071</v>
      </c>
      <c r="K654" s="7">
        <v>3492.0</v>
      </c>
      <c r="L654" s="7">
        <v>4340.88</v>
      </c>
      <c r="M654" s="7">
        <v>6022.0</v>
      </c>
      <c r="N654" s="7">
        <v>0.721</v>
      </c>
      <c r="O654" s="8">
        <v>4846.0</v>
      </c>
      <c r="P654" s="7">
        <v>8468.76</v>
      </c>
      <c r="Q654" s="7">
        <v>4470117.0</v>
      </c>
      <c r="R654" s="7">
        <v>1.89</v>
      </c>
      <c r="S654" s="7">
        <v>12292.0</v>
      </c>
      <c r="T654" s="7">
        <v>437.78</v>
      </c>
      <c r="U654" s="7">
        <v>3627.0</v>
      </c>
      <c r="V654" s="7">
        <v>0.12</v>
      </c>
      <c r="W654" s="7">
        <v>1407.0</v>
      </c>
      <c r="X654" s="7">
        <v>694.4</v>
      </c>
      <c r="Y654" s="7">
        <v>552540.0</v>
      </c>
      <c r="Z654" s="7">
        <v>1.26</v>
      </c>
      <c r="AA654" s="7">
        <v>1005.0</v>
      </c>
      <c r="AB654" s="7"/>
      <c r="AC654" s="7"/>
      <c r="AD654" s="7"/>
    </row>
    <row r="655" ht="15.75" customHeight="1">
      <c r="A655" s="6">
        <v>45215.0</v>
      </c>
      <c r="B655" s="7">
        <f t="shared" si="1"/>
        <v>16</v>
      </c>
      <c r="C655" s="7">
        <f t="shared" si="2"/>
        <v>10</v>
      </c>
      <c r="D655" s="7">
        <v>13403.97</v>
      </c>
      <c r="E655" s="7">
        <v>18087.0</v>
      </c>
      <c r="F655" s="7">
        <v>19418.0</v>
      </c>
      <c r="G655" s="7">
        <v>37505.0</v>
      </c>
      <c r="H655" s="7">
        <v>339.16</v>
      </c>
      <c r="I655" s="7">
        <v>4666.0</v>
      </c>
      <c r="J655" s="7">
        <v>0.073</v>
      </c>
      <c r="K655" s="7">
        <v>3618.0</v>
      </c>
      <c r="L655" s="7">
        <v>3854.96</v>
      </c>
      <c r="M655" s="7">
        <v>4816.0</v>
      </c>
      <c r="N655" s="7">
        <v>0.8</v>
      </c>
      <c r="O655" s="8">
        <v>4017.0</v>
      </c>
      <c r="P655" s="7">
        <v>8253.09</v>
      </c>
      <c r="Q655" s="7">
        <v>4375064.0</v>
      </c>
      <c r="R655" s="7">
        <v>1.89</v>
      </c>
      <c r="S655" s="7">
        <v>10063.0</v>
      </c>
      <c r="T655" s="7">
        <v>336.35</v>
      </c>
      <c r="U655" s="7">
        <v>2503.0</v>
      </c>
      <c r="V655" s="7">
        <v>0.13</v>
      </c>
      <c r="W655" s="7">
        <v>968.0</v>
      </c>
      <c r="X655" s="7">
        <v>620.41</v>
      </c>
      <c r="Y655" s="7">
        <v>550403.0</v>
      </c>
      <c r="Z655" s="7">
        <v>1.13</v>
      </c>
      <c r="AA655" s="7">
        <v>734.0</v>
      </c>
      <c r="AB655" s="7"/>
      <c r="AC655" s="7"/>
      <c r="AD655" s="7"/>
    </row>
    <row r="656" ht="15.75" customHeight="1">
      <c r="A656" s="6">
        <v>45216.0</v>
      </c>
      <c r="B656" s="7">
        <f t="shared" si="1"/>
        <v>17</v>
      </c>
      <c r="C656" s="7">
        <f t="shared" si="2"/>
        <v>10</v>
      </c>
      <c r="D656" s="7">
        <v>12550.79</v>
      </c>
      <c r="E656" s="7">
        <v>15578.0</v>
      </c>
      <c r="F656" s="7">
        <v>17818.0</v>
      </c>
      <c r="G656" s="7">
        <v>33396.0</v>
      </c>
      <c r="H656" s="7">
        <v>310.06</v>
      </c>
      <c r="I656" s="7">
        <v>4317.0</v>
      </c>
      <c r="J656" s="7">
        <v>0.072</v>
      </c>
      <c r="K656" s="7">
        <v>3367.0</v>
      </c>
      <c r="L656" s="7">
        <v>3510.97</v>
      </c>
      <c r="M656" s="7">
        <v>4305.0</v>
      </c>
      <c r="N656" s="7">
        <v>0.816</v>
      </c>
      <c r="O656" s="8">
        <v>3753.0</v>
      </c>
      <c r="P656" s="7">
        <v>7921.64</v>
      </c>
      <c r="Q656" s="7">
        <v>3859932.0</v>
      </c>
      <c r="R656" s="7">
        <v>2.05</v>
      </c>
      <c r="S656" s="7">
        <v>9736.0</v>
      </c>
      <c r="T656" s="7">
        <v>327.07</v>
      </c>
      <c r="U656" s="7">
        <v>2175.0</v>
      </c>
      <c r="V656" s="7">
        <v>0.15</v>
      </c>
      <c r="W656" s="7">
        <v>877.0</v>
      </c>
      <c r="X656" s="7">
        <v>481.05</v>
      </c>
      <c r="Y656" s="7">
        <v>422882.0</v>
      </c>
      <c r="Z656" s="7">
        <v>1.14</v>
      </c>
      <c r="AA656" s="7">
        <v>489.0</v>
      </c>
      <c r="AB656" s="7"/>
      <c r="AC656" s="7"/>
      <c r="AD656" s="7"/>
    </row>
    <row r="657" ht="15.75" customHeight="1">
      <c r="A657" s="6">
        <v>45217.0</v>
      </c>
      <c r="B657" s="7">
        <f t="shared" si="1"/>
        <v>18</v>
      </c>
      <c r="C657" s="7">
        <f t="shared" si="2"/>
        <v>10</v>
      </c>
      <c r="D657" s="7">
        <v>12593.87</v>
      </c>
      <c r="E657" s="7">
        <v>16699.0</v>
      </c>
      <c r="F657" s="7">
        <v>15700.0</v>
      </c>
      <c r="G657" s="7">
        <v>32399.0</v>
      </c>
      <c r="H657" s="7">
        <v>323.78</v>
      </c>
      <c r="I657" s="7">
        <v>4265.0</v>
      </c>
      <c r="J657" s="7">
        <v>0.076</v>
      </c>
      <c r="K657" s="7">
        <v>2998.0</v>
      </c>
      <c r="L657" s="7">
        <v>3502.71</v>
      </c>
      <c r="M657" s="7">
        <v>4274.0</v>
      </c>
      <c r="N657" s="7">
        <v>0.82</v>
      </c>
      <c r="O657" s="8">
        <v>3284.0</v>
      </c>
      <c r="P657" s="7">
        <v>7925.74</v>
      </c>
      <c r="Q657" s="7">
        <v>3616990.0</v>
      </c>
      <c r="R657" s="7">
        <v>2.19</v>
      </c>
      <c r="S657" s="7">
        <v>8200.0</v>
      </c>
      <c r="T657" s="7">
        <v>272.96</v>
      </c>
      <c r="U657" s="7">
        <v>1701.0</v>
      </c>
      <c r="V657" s="7">
        <v>0.16</v>
      </c>
      <c r="W657" s="7">
        <v>643.0</v>
      </c>
      <c r="X657" s="7">
        <v>568.68</v>
      </c>
      <c r="Y657" s="7">
        <v>410304.0</v>
      </c>
      <c r="Z657" s="7">
        <v>1.39</v>
      </c>
      <c r="AA657" s="7">
        <v>848.0</v>
      </c>
      <c r="AB657" s="7"/>
      <c r="AC657" s="7"/>
      <c r="AD657" s="7"/>
    </row>
    <row r="658" ht="15.75" customHeight="1">
      <c r="A658" s="6">
        <v>45218.0</v>
      </c>
      <c r="B658" s="7">
        <f t="shared" si="1"/>
        <v>19</v>
      </c>
      <c r="C658" s="7">
        <f t="shared" si="2"/>
        <v>10</v>
      </c>
      <c r="D658" s="7">
        <v>12855.02</v>
      </c>
      <c r="E658" s="7">
        <v>13067.0</v>
      </c>
      <c r="F658" s="7">
        <v>17452.0</v>
      </c>
      <c r="G658" s="7">
        <v>30519.0</v>
      </c>
      <c r="H658" s="7">
        <v>288.25</v>
      </c>
      <c r="I658" s="7">
        <v>3813.0</v>
      </c>
      <c r="J658" s="7">
        <v>0.076</v>
      </c>
      <c r="K658" s="7">
        <v>3138.0</v>
      </c>
      <c r="L658" s="7">
        <v>3919.02</v>
      </c>
      <c r="M658" s="7">
        <v>4231.0</v>
      </c>
      <c r="N658" s="7">
        <v>0.926</v>
      </c>
      <c r="O658" s="8">
        <v>3732.0</v>
      </c>
      <c r="P658" s="7">
        <v>7748.29</v>
      </c>
      <c r="Q658" s="7">
        <v>3419943.0</v>
      </c>
      <c r="R658" s="7">
        <v>2.27</v>
      </c>
      <c r="S658" s="7">
        <v>9016.0</v>
      </c>
      <c r="T658" s="7">
        <v>388.05</v>
      </c>
      <c r="U658" s="7">
        <v>1828.0</v>
      </c>
      <c r="V658" s="7">
        <v>0.21</v>
      </c>
      <c r="W658" s="7">
        <v>879.0</v>
      </c>
      <c r="X658" s="7">
        <v>511.41</v>
      </c>
      <c r="Y658" s="7">
        <v>332340.0</v>
      </c>
      <c r="Z658" s="7">
        <v>1.54</v>
      </c>
      <c r="AA658" s="7">
        <v>655.0</v>
      </c>
      <c r="AB658" s="7"/>
      <c r="AC658" s="7"/>
      <c r="AD658" s="7"/>
    </row>
    <row r="659" ht="15.75" customHeight="1">
      <c r="A659" s="6">
        <v>45219.0</v>
      </c>
      <c r="B659" s="7">
        <f t="shared" si="1"/>
        <v>20</v>
      </c>
      <c r="C659" s="7">
        <f t="shared" si="2"/>
        <v>10</v>
      </c>
      <c r="D659" s="7">
        <v>18325.19</v>
      </c>
      <c r="E659" s="7">
        <v>15082.0</v>
      </c>
      <c r="F659" s="7">
        <v>14597.0</v>
      </c>
      <c r="G659" s="7">
        <v>29679.0</v>
      </c>
      <c r="H659" s="7">
        <v>503.9</v>
      </c>
      <c r="I659" s="7">
        <v>3658.0</v>
      </c>
      <c r="J659" s="7">
        <v>0.138</v>
      </c>
      <c r="K659" s="7">
        <v>2566.0</v>
      </c>
      <c r="L659" s="7">
        <v>9225.26</v>
      </c>
      <c r="M659" s="7">
        <v>4372.0</v>
      </c>
      <c r="N659" s="7">
        <v>2.11</v>
      </c>
      <c r="O659" s="8">
        <v>3515.0</v>
      </c>
      <c r="P659" s="7">
        <v>7594.94</v>
      </c>
      <c r="Q659" s="7">
        <v>3456714.0</v>
      </c>
      <c r="R659" s="7">
        <v>2.2</v>
      </c>
      <c r="S659" s="7">
        <v>7284.0</v>
      </c>
      <c r="T659" s="7">
        <v>660.84</v>
      </c>
      <c r="U659" s="7">
        <v>1796.0</v>
      </c>
      <c r="V659" s="7">
        <v>0.37</v>
      </c>
      <c r="W659" s="7">
        <v>1007.0</v>
      </c>
      <c r="X659" s="7">
        <v>340.25</v>
      </c>
      <c r="Y659" s="7">
        <v>200731.0</v>
      </c>
      <c r="Z659" s="7">
        <v>1.7</v>
      </c>
      <c r="AA659" s="7">
        <v>341.0</v>
      </c>
      <c r="AB659" s="7"/>
      <c r="AC659" s="7"/>
      <c r="AD659" s="7"/>
    </row>
    <row r="660" ht="15.75" customHeight="1">
      <c r="A660" s="6">
        <v>45220.0</v>
      </c>
      <c r="B660" s="7">
        <f t="shared" si="1"/>
        <v>21</v>
      </c>
      <c r="C660" s="7">
        <f t="shared" si="2"/>
        <v>10</v>
      </c>
      <c r="D660" s="7">
        <v>11641.11</v>
      </c>
      <c r="E660" s="7">
        <v>12324.0</v>
      </c>
      <c r="F660" s="7">
        <v>15132.0</v>
      </c>
      <c r="G660" s="7">
        <v>27456.0</v>
      </c>
      <c r="H660" s="7">
        <v>483.73</v>
      </c>
      <c r="I660" s="7">
        <v>4140.0</v>
      </c>
      <c r="J660" s="7">
        <v>0.117</v>
      </c>
      <c r="K660" s="7">
        <v>3122.0</v>
      </c>
      <c r="L660" s="7">
        <v>3803.96</v>
      </c>
      <c r="M660" s="7">
        <v>2742.0</v>
      </c>
      <c r="N660" s="7">
        <v>1.387</v>
      </c>
      <c r="O660" s="8">
        <v>2335.0</v>
      </c>
      <c r="P660" s="7">
        <v>6912.82</v>
      </c>
      <c r="Q660" s="7">
        <v>2964647.0</v>
      </c>
      <c r="R660" s="7">
        <v>2.33</v>
      </c>
      <c r="S660" s="7">
        <v>8841.0</v>
      </c>
      <c r="T660" s="7">
        <v>140.6</v>
      </c>
      <c r="U660" s="7">
        <v>436.0</v>
      </c>
      <c r="V660" s="7">
        <v>0.32</v>
      </c>
      <c r="W660" s="7">
        <v>536.0</v>
      </c>
      <c r="X660" s="7">
        <v>300.0</v>
      </c>
      <c r="Y660" s="7">
        <v>175315.0</v>
      </c>
      <c r="Z660" s="7">
        <v>1.71</v>
      </c>
      <c r="AA660" s="7">
        <v>429.0</v>
      </c>
      <c r="AB660" s="7"/>
      <c r="AC660" s="7"/>
      <c r="AD660" s="7"/>
    </row>
    <row r="661" ht="15.75" customHeight="1">
      <c r="A661" s="6">
        <v>45221.0</v>
      </c>
      <c r="B661" s="7">
        <f t="shared" si="1"/>
        <v>22</v>
      </c>
      <c r="C661" s="7">
        <f t="shared" si="2"/>
        <v>10</v>
      </c>
      <c r="D661" s="7">
        <v>9108.48</v>
      </c>
      <c r="E661" s="7">
        <v>13231.0</v>
      </c>
      <c r="F661" s="7">
        <v>15671.0</v>
      </c>
      <c r="G661" s="7">
        <v>28902.0</v>
      </c>
      <c r="H661" s="7">
        <v>342.3</v>
      </c>
      <c r="I661" s="7">
        <v>4456.0</v>
      </c>
      <c r="J661" s="7">
        <v>0.077</v>
      </c>
      <c r="K661" s="7">
        <v>3360.0</v>
      </c>
      <c r="L661" s="7">
        <v>2140.82</v>
      </c>
      <c r="M661" s="7">
        <v>2986.0</v>
      </c>
      <c r="N661" s="7">
        <v>0.717</v>
      </c>
      <c r="O661" s="8">
        <v>2615.0</v>
      </c>
      <c r="P661" s="7">
        <v>5783.47</v>
      </c>
      <c r="Q661" s="7">
        <v>2680734.0</v>
      </c>
      <c r="R661" s="7">
        <v>2.16</v>
      </c>
      <c r="S661" s="7">
        <v>8470.0</v>
      </c>
      <c r="T661" s="7">
        <v>499.65</v>
      </c>
      <c r="U661" s="7">
        <v>850.0</v>
      </c>
      <c r="V661" s="7">
        <v>0.59</v>
      </c>
      <c r="W661" s="7">
        <v>861.0</v>
      </c>
      <c r="X661" s="7">
        <v>342.24</v>
      </c>
      <c r="Y661" s="7">
        <v>201415.0</v>
      </c>
      <c r="Z661" s="7">
        <v>1.7</v>
      </c>
      <c r="AA661" s="7">
        <v>424.0</v>
      </c>
      <c r="AB661" s="7"/>
      <c r="AC661" s="7"/>
      <c r="AD661" s="7"/>
    </row>
    <row r="662" ht="15.75" customHeight="1">
      <c r="A662" s="6">
        <v>45222.0</v>
      </c>
      <c r="B662" s="7">
        <f t="shared" si="1"/>
        <v>23</v>
      </c>
      <c r="C662" s="7">
        <f t="shared" si="2"/>
        <v>10</v>
      </c>
      <c r="D662" s="7">
        <v>10635.39</v>
      </c>
      <c r="E662" s="7">
        <v>15137.0</v>
      </c>
      <c r="F662" s="7">
        <v>15565.0</v>
      </c>
      <c r="G662" s="7">
        <v>30702.0</v>
      </c>
      <c r="H662" s="7">
        <v>476.73</v>
      </c>
      <c r="I662" s="7">
        <v>4726.0</v>
      </c>
      <c r="J662" s="7">
        <v>0.101</v>
      </c>
      <c r="K662" s="7">
        <v>3478.0</v>
      </c>
      <c r="L662" s="7">
        <v>2794.1</v>
      </c>
      <c r="M662" s="7">
        <v>3295.0</v>
      </c>
      <c r="N662" s="7">
        <v>0.848</v>
      </c>
      <c r="O662" s="8">
        <v>2843.0</v>
      </c>
      <c r="P662" s="7">
        <v>6638.84</v>
      </c>
      <c r="Q662" s="7">
        <v>3274353.0</v>
      </c>
      <c r="R662" s="7">
        <v>2.03</v>
      </c>
      <c r="S662" s="7">
        <v>8200.0</v>
      </c>
      <c r="T662" s="7">
        <v>348.67</v>
      </c>
      <c r="U662" s="7">
        <v>977.0</v>
      </c>
      <c r="V662" s="7">
        <v>0.36</v>
      </c>
      <c r="W662" s="7">
        <v>583.0</v>
      </c>
      <c r="X662" s="7">
        <v>377.05</v>
      </c>
      <c r="Y662" s="7">
        <v>263638.0</v>
      </c>
      <c r="Z662" s="7">
        <v>1.43</v>
      </c>
      <c r="AA662" s="7">
        <v>374.0</v>
      </c>
      <c r="AB662" s="7"/>
      <c r="AC662" s="7"/>
      <c r="AD662" s="7"/>
    </row>
    <row r="663" ht="15.75" customHeight="1">
      <c r="A663" s="6">
        <v>45223.0</v>
      </c>
      <c r="B663" s="7">
        <f t="shared" si="1"/>
        <v>24</v>
      </c>
      <c r="C663" s="7">
        <f t="shared" si="2"/>
        <v>10</v>
      </c>
      <c r="D663" s="7">
        <v>11796.22</v>
      </c>
      <c r="E663" s="7">
        <v>16094.0</v>
      </c>
      <c r="F663" s="7">
        <v>17905.0</v>
      </c>
      <c r="G663" s="7">
        <v>33999.0</v>
      </c>
      <c r="H663" s="7">
        <v>452.56</v>
      </c>
      <c r="I663" s="7">
        <v>4506.0</v>
      </c>
      <c r="J663" s="7">
        <v>0.1</v>
      </c>
      <c r="K663" s="7">
        <v>3511.0</v>
      </c>
      <c r="L663" s="7">
        <v>3103.14</v>
      </c>
      <c r="M663" s="7">
        <v>3765.0</v>
      </c>
      <c r="N663" s="7">
        <v>0.824</v>
      </c>
      <c r="O663" s="8">
        <v>3246.0</v>
      </c>
      <c r="P663" s="7">
        <v>7195.02</v>
      </c>
      <c r="Q663" s="7">
        <v>3240123.0</v>
      </c>
      <c r="R663" s="7">
        <v>2.22</v>
      </c>
      <c r="S663" s="7">
        <v>9853.0</v>
      </c>
      <c r="T663" s="7">
        <v>465.76</v>
      </c>
      <c r="U663" s="7">
        <v>4342.0</v>
      </c>
      <c r="V663" s="7">
        <v>0.11</v>
      </c>
      <c r="W663" s="7">
        <v>1169.0</v>
      </c>
      <c r="X663" s="7">
        <v>579.74</v>
      </c>
      <c r="Y663" s="7">
        <v>358030.0</v>
      </c>
      <c r="Z663" s="7">
        <v>1.62</v>
      </c>
      <c r="AA663" s="7">
        <v>559.0</v>
      </c>
      <c r="AB663" s="7"/>
      <c r="AC663" s="7"/>
      <c r="AD663" s="7"/>
    </row>
    <row r="664" ht="15.75" customHeight="1">
      <c r="A664" s="6">
        <v>45224.0</v>
      </c>
      <c r="B664" s="7">
        <f t="shared" si="1"/>
        <v>25</v>
      </c>
      <c r="C664" s="7">
        <f t="shared" si="2"/>
        <v>10</v>
      </c>
      <c r="D664" s="7">
        <v>13747.84</v>
      </c>
      <c r="E664" s="7">
        <v>15302.0</v>
      </c>
      <c r="F664" s="7">
        <v>18204.0</v>
      </c>
      <c r="G664" s="7">
        <v>33506.0</v>
      </c>
      <c r="H664" s="7">
        <v>475.52</v>
      </c>
      <c r="I664" s="7">
        <v>4595.0</v>
      </c>
      <c r="J664" s="7">
        <v>0.103</v>
      </c>
      <c r="K664" s="7">
        <v>3488.0</v>
      </c>
      <c r="L664" s="7">
        <v>4133.9</v>
      </c>
      <c r="M664" s="7">
        <v>3718.0</v>
      </c>
      <c r="N664" s="7">
        <v>1.112</v>
      </c>
      <c r="O664" s="8">
        <v>3053.0</v>
      </c>
      <c r="P664" s="7">
        <v>7781.55</v>
      </c>
      <c r="Q664" s="7">
        <v>3486256.0</v>
      </c>
      <c r="R664" s="7">
        <v>2.23</v>
      </c>
      <c r="S664" s="7">
        <v>10069.0</v>
      </c>
      <c r="T664" s="7">
        <v>783.76</v>
      </c>
      <c r="U664" s="7">
        <v>6286.0</v>
      </c>
      <c r="V664" s="7">
        <v>0.12</v>
      </c>
      <c r="W664" s="7">
        <v>1380.0</v>
      </c>
      <c r="X664" s="7">
        <v>573.11</v>
      </c>
      <c r="Y664" s="7">
        <v>421068.0</v>
      </c>
      <c r="Z664" s="7">
        <v>1.36</v>
      </c>
      <c r="AA664" s="7">
        <v>515.0</v>
      </c>
      <c r="AB664" s="7"/>
      <c r="AC664" s="7"/>
      <c r="AD664" s="7"/>
    </row>
    <row r="665" ht="15.75" customHeight="1">
      <c r="A665" s="6">
        <v>45225.0</v>
      </c>
      <c r="B665" s="7">
        <f t="shared" si="1"/>
        <v>26</v>
      </c>
      <c r="C665" s="7">
        <f t="shared" si="2"/>
        <v>10</v>
      </c>
      <c r="D665" s="7">
        <v>12696.88</v>
      </c>
      <c r="E665" s="7">
        <v>14310.0</v>
      </c>
      <c r="F665" s="7">
        <v>19724.0</v>
      </c>
      <c r="G665" s="7">
        <v>34034.0</v>
      </c>
      <c r="H665" s="7">
        <v>372.29</v>
      </c>
      <c r="I665" s="7">
        <v>4256.0</v>
      </c>
      <c r="J665" s="7">
        <v>0.087</v>
      </c>
      <c r="K665" s="7">
        <v>3396.0</v>
      </c>
      <c r="L665" s="7">
        <v>2856.58</v>
      </c>
      <c r="M665" s="7">
        <v>3585.0</v>
      </c>
      <c r="N665" s="7">
        <v>0.797</v>
      </c>
      <c r="O665" s="8">
        <v>3179.0</v>
      </c>
      <c r="P665" s="7">
        <v>8010.62</v>
      </c>
      <c r="Q665" s="7">
        <v>3726429.0</v>
      </c>
      <c r="R665" s="7">
        <v>2.15</v>
      </c>
      <c r="S665" s="7">
        <v>10771.0</v>
      </c>
      <c r="T665" s="7">
        <v>834.65</v>
      </c>
      <c r="U665" s="7">
        <v>3505.0</v>
      </c>
      <c r="V665" s="7">
        <v>0.24</v>
      </c>
      <c r="W665" s="7">
        <v>1375.0</v>
      </c>
      <c r="X665" s="7">
        <v>622.74</v>
      </c>
      <c r="Y665" s="7">
        <v>389817.0</v>
      </c>
      <c r="Z665" s="7">
        <v>1.6</v>
      </c>
      <c r="AA665" s="7">
        <v>526.0</v>
      </c>
      <c r="AB665" s="7"/>
      <c r="AC665" s="7"/>
      <c r="AD665" s="7"/>
    </row>
    <row r="666" ht="15.75" customHeight="1">
      <c r="A666" s="6">
        <v>45226.0</v>
      </c>
      <c r="B666" s="7">
        <f t="shared" si="1"/>
        <v>27</v>
      </c>
      <c r="C666" s="7">
        <f t="shared" si="2"/>
        <v>10</v>
      </c>
      <c r="D666" s="7">
        <v>12100.83</v>
      </c>
      <c r="E666" s="7">
        <v>12987.0</v>
      </c>
      <c r="F666" s="7">
        <v>18579.0</v>
      </c>
      <c r="G666" s="7">
        <v>31566.0</v>
      </c>
      <c r="H666" s="7">
        <v>349.23</v>
      </c>
      <c r="I666" s="7">
        <v>3877.0</v>
      </c>
      <c r="J666" s="7">
        <v>0.09</v>
      </c>
      <c r="K666" s="7">
        <v>3170.0</v>
      </c>
      <c r="L666" s="7">
        <v>2645.96</v>
      </c>
      <c r="M666" s="7">
        <v>3580.0</v>
      </c>
      <c r="N666" s="7">
        <v>0.739</v>
      </c>
      <c r="O666" s="8">
        <v>3239.0</v>
      </c>
      <c r="P666" s="7">
        <v>7975.26</v>
      </c>
      <c r="Q666" s="7">
        <v>3662957.0</v>
      </c>
      <c r="R666" s="7">
        <v>2.18</v>
      </c>
      <c r="S666" s="7">
        <v>10858.0</v>
      </c>
      <c r="T666" s="7">
        <v>514.02</v>
      </c>
      <c r="U666" s="7">
        <v>2455.0</v>
      </c>
      <c r="V666" s="7">
        <v>0.21</v>
      </c>
      <c r="W666" s="7">
        <v>1054.0</v>
      </c>
      <c r="X666" s="7">
        <v>616.36</v>
      </c>
      <c r="Y666" s="7">
        <v>456835.0</v>
      </c>
      <c r="Z666" s="7">
        <v>1.35</v>
      </c>
      <c r="AA666" s="7">
        <v>495.0</v>
      </c>
      <c r="AB666" s="7"/>
      <c r="AC666" s="7"/>
      <c r="AD666" s="7"/>
    </row>
    <row r="667" ht="15.75" customHeight="1">
      <c r="A667" s="6">
        <v>45227.0</v>
      </c>
      <c r="B667" s="7">
        <f t="shared" si="1"/>
        <v>28</v>
      </c>
      <c r="C667" s="7">
        <f t="shared" si="2"/>
        <v>10</v>
      </c>
      <c r="D667" s="7">
        <v>13463.22</v>
      </c>
      <c r="E667" s="7">
        <v>11874.0</v>
      </c>
      <c r="F667" s="7">
        <v>21558.0</v>
      </c>
      <c r="G667" s="7">
        <v>33432.0</v>
      </c>
      <c r="H667" s="7">
        <v>316.64</v>
      </c>
      <c r="I667" s="7">
        <v>4080.0</v>
      </c>
      <c r="J667" s="7">
        <v>0.078</v>
      </c>
      <c r="K667" s="7">
        <v>3139.0</v>
      </c>
      <c r="L667" s="7">
        <v>3290.2</v>
      </c>
      <c r="M667" s="7">
        <v>4417.0</v>
      </c>
      <c r="N667" s="7">
        <v>0.745</v>
      </c>
      <c r="O667" s="8">
        <v>3763.0</v>
      </c>
      <c r="P667" s="7">
        <v>8433.31</v>
      </c>
      <c r="Q667" s="7">
        <v>3980597.0</v>
      </c>
      <c r="R667" s="7">
        <v>2.12</v>
      </c>
      <c r="S667" s="7">
        <v>12467.0</v>
      </c>
      <c r="T667" s="7">
        <v>816.96</v>
      </c>
      <c r="U667" s="7">
        <v>3249.0</v>
      </c>
      <c r="V667" s="7">
        <v>0.25</v>
      </c>
      <c r="W667" s="7">
        <v>1407.0</v>
      </c>
      <c r="X667" s="7">
        <v>606.11</v>
      </c>
      <c r="Y667" s="7">
        <v>364748.0</v>
      </c>
      <c r="Z667" s="7">
        <v>1.66</v>
      </c>
      <c r="AA667" s="7">
        <v>507.0</v>
      </c>
      <c r="AB667" s="7"/>
      <c r="AC667" s="7"/>
      <c r="AD667" s="7"/>
    </row>
    <row r="668" ht="15.75" customHeight="1">
      <c r="A668" s="6">
        <v>45228.0</v>
      </c>
      <c r="B668" s="7">
        <f t="shared" si="1"/>
        <v>29</v>
      </c>
      <c r="C668" s="7">
        <f t="shared" si="2"/>
        <v>10</v>
      </c>
      <c r="D668" s="7">
        <v>13948.67</v>
      </c>
      <c r="E668" s="7">
        <v>15906.0</v>
      </c>
      <c r="F668" s="7">
        <v>24875.0</v>
      </c>
      <c r="G668" s="7">
        <v>40781.0</v>
      </c>
      <c r="H668" s="7">
        <v>351.05</v>
      </c>
      <c r="I668" s="7">
        <v>5136.0</v>
      </c>
      <c r="J668" s="7">
        <v>0.068</v>
      </c>
      <c r="K668" s="7">
        <v>4182.0</v>
      </c>
      <c r="L668" s="7">
        <v>4111.76</v>
      </c>
      <c r="M668" s="7">
        <v>5742.0</v>
      </c>
      <c r="N668" s="7">
        <v>0.716</v>
      </c>
      <c r="O668" s="8">
        <v>4932.0</v>
      </c>
      <c r="P668" s="7">
        <v>8204.03</v>
      </c>
      <c r="Q668" s="7">
        <v>4189725.0</v>
      </c>
      <c r="R668" s="7">
        <v>1.96</v>
      </c>
      <c r="S668" s="7">
        <v>13689.0</v>
      </c>
      <c r="T668" s="7">
        <v>638.24</v>
      </c>
      <c r="U668" s="7">
        <v>2980.0</v>
      </c>
      <c r="V668" s="7">
        <v>0.21</v>
      </c>
      <c r="W668" s="7">
        <v>1332.0</v>
      </c>
      <c r="X668" s="7">
        <v>643.59</v>
      </c>
      <c r="Y668" s="7">
        <v>431367.0</v>
      </c>
      <c r="Z668" s="7">
        <v>1.49</v>
      </c>
      <c r="AA668" s="7">
        <v>592.0</v>
      </c>
      <c r="AB668" s="7"/>
      <c r="AC668" s="7"/>
      <c r="AD668" s="7"/>
    </row>
    <row r="669" ht="15.75" customHeight="1">
      <c r="A669" s="6">
        <v>45229.0</v>
      </c>
      <c r="B669" s="7">
        <f t="shared" si="1"/>
        <v>30</v>
      </c>
      <c r="C669" s="7">
        <f t="shared" si="2"/>
        <v>10</v>
      </c>
      <c r="D669" s="7">
        <v>12437.44</v>
      </c>
      <c r="E669" s="7">
        <v>15329.0</v>
      </c>
      <c r="F669" s="7">
        <v>19340.0</v>
      </c>
      <c r="G669" s="7">
        <v>34669.0</v>
      </c>
      <c r="H669" s="7">
        <v>364.36</v>
      </c>
      <c r="I669" s="7">
        <v>4509.0</v>
      </c>
      <c r="J669" s="7">
        <v>0.081</v>
      </c>
      <c r="K669" s="7">
        <v>3597.0</v>
      </c>
      <c r="L669" s="7">
        <v>2985.97</v>
      </c>
      <c r="M669" s="7">
        <v>4064.0</v>
      </c>
      <c r="N669" s="7">
        <v>0.735</v>
      </c>
      <c r="O669" s="8">
        <v>3684.0</v>
      </c>
      <c r="P669" s="7">
        <v>7825.73</v>
      </c>
      <c r="Q669" s="7">
        <v>4080460.0</v>
      </c>
      <c r="R669" s="7">
        <v>1.92</v>
      </c>
      <c r="S669" s="7">
        <v>10656.0</v>
      </c>
      <c r="T669" s="7">
        <v>736.47</v>
      </c>
      <c r="U669" s="7">
        <v>3956.0</v>
      </c>
      <c r="V669" s="7">
        <v>0.19</v>
      </c>
      <c r="W669" s="7">
        <v>1351.0</v>
      </c>
      <c r="X669" s="7">
        <v>524.91</v>
      </c>
      <c r="Y669" s="7">
        <v>429527.0</v>
      </c>
      <c r="Z669" s="7">
        <v>1.22</v>
      </c>
      <c r="AA669" s="7">
        <v>389.0</v>
      </c>
      <c r="AB669" s="7"/>
      <c r="AC669" s="7"/>
      <c r="AD669" s="7"/>
    </row>
    <row r="670" ht="15.75" customHeight="1">
      <c r="A670" s="6">
        <v>45230.0</v>
      </c>
      <c r="B670" s="7">
        <f t="shared" si="1"/>
        <v>31</v>
      </c>
      <c r="C670" s="7">
        <f t="shared" si="2"/>
        <v>10</v>
      </c>
      <c r="D670" s="7">
        <v>12678.58</v>
      </c>
      <c r="E670" s="7">
        <v>13350.0</v>
      </c>
      <c r="F670" s="7">
        <v>17777.0</v>
      </c>
      <c r="G670" s="7">
        <v>31127.0</v>
      </c>
      <c r="H670" s="7">
        <v>294.75</v>
      </c>
      <c r="I670" s="7">
        <v>3954.0</v>
      </c>
      <c r="J670" s="7">
        <v>0.075</v>
      </c>
      <c r="K670" s="7">
        <v>2942.0</v>
      </c>
      <c r="L670" s="7">
        <v>2686.14</v>
      </c>
      <c r="M670" s="7">
        <v>3564.0</v>
      </c>
      <c r="N670" s="7">
        <v>0.754</v>
      </c>
      <c r="O670" s="8">
        <v>3090.0</v>
      </c>
      <c r="P670" s="7">
        <v>8394.85</v>
      </c>
      <c r="Q670" s="7">
        <v>4206226.0</v>
      </c>
      <c r="R670" s="7">
        <v>2.0</v>
      </c>
      <c r="S670" s="7">
        <v>10093.0</v>
      </c>
      <c r="T670" s="7">
        <v>659.27</v>
      </c>
      <c r="U670" s="7">
        <v>3327.0</v>
      </c>
      <c r="V670" s="7">
        <v>0.2</v>
      </c>
      <c r="W670" s="7">
        <v>1282.0</v>
      </c>
      <c r="X670" s="7">
        <v>643.57</v>
      </c>
      <c r="Y670" s="7">
        <v>395086.0</v>
      </c>
      <c r="Z670" s="7">
        <v>1.63</v>
      </c>
      <c r="AA670" s="7">
        <v>336.0</v>
      </c>
      <c r="AB670" s="7"/>
      <c r="AC670" s="7"/>
      <c r="AD670" s="7"/>
    </row>
    <row r="671" ht="15.75" customHeight="1">
      <c r="A671" s="6">
        <v>45231.0</v>
      </c>
      <c r="B671" s="7">
        <f t="shared" si="1"/>
        <v>1</v>
      </c>
      <c r="C671" s="7">
        <f t="shared" si="2"/>
        <v>11</v>
      </c>
      <c r="D671" s="7">
        <v>13539.68</v>
      </c>
      <c r="E671" s="7">
        <v>15567.0</v>
      </c>
      <c r="F671" s="7">
        <v>23442.0</v>
      </c>
      <c r="G671" s="7">
        <v>39009.0</v>
      </c>
      <c r="H671" s="7">
        <v>306.65</v>
      </c>
      <c r="I671" s="7">
        <v>5047.0</v>
      </c>
      <c r="J671" s="7">
        <v>0.061</v>
      </c>
      <c r="K671" s="7">
        <v>4113.0</v>
      </c>
      <c r="L671" s="7">
        <v>3416.27</v>
      </c>
      <c r="M671" s="7">
        <v>5242.0</v>
      </c>
      <c r="N671" s="7">
        <v>0.652</v>
      </c>
      <c r="O671" s="8">
        <v>4468.0</v>
      </c>
      <c r="P671" s="7">
        <v>8367.25</v>
      </c>
      <c r="Q671" s="7">
        <v>5160497.0</v>
      </c>
      <c r="R671" s="7">
        <v>1.62</v>
      </c>
      <c r="S671" s="7">
        <v>13046.0</v>
      </c>
      <c r="T671" s="7">
        <v>742.7</v>
      </c>
      <c r="U671" s="7">
        <v>3950.0</v>
      </c>
      <c r="V671" s="7">
        <v>0.19</v>
      </c>
      <c r="W671" s="7">
        <v>1576.0</v>
      </c>
      <c r="X671" s="7">
        <v>706.81</v>
      </c>
      <c r="Y671" s="7">
        <v>466068.0</v>
      </c>
      <c r="Z671" s="7">
        <v>1.52</v>
      </c>
      <c r="AA671" s="7">
        <v>641.0</v>
      </c>
      <c r="AB671" s="7"/>
      <c r="AC671" s="7"/>
      <c r="AD671" s="7"/>
    </row>
    <row r="672" ht="15.75" customHeight="1">
      <c r="A672" s="6">
        <v>45232.0</v>
      </c>
      <c r="B672" s="7">
        <f t="shared" si="1"/>
        <v>2</v>
      </c>
      <c r="C672" s="7">
        <f t="shared" si="2"/>
        <v>11</v>
      </c>
      <c r="D672" s="7">
        <v>13152.16</v>
      </c>
      <c r="E672" s="7">
        <v>16649.0</v>
      </c>
      <c r="F672" s="7">
        <v>21904.0</v>
      </c>
      <c r="G672" s="7">
        <v>38553.0</v>
      </c>
      <c r="H672" s="7">
        <v>365.46</v>
      </c>
      <c r="I672" s="7">
        <v>5106.0</v>
      </c>
      <c r="J672" s="7">
        <v>0.072</v>
      </c>
      <c r="K672" s="7">
        <v>4229.0</v>
      </c>
      <c r="L672" s="7">
        <v>3357.61</v>
      </c>
      <c r="M672" s="7">
        <v>4822.0</v>
      </c>
      <c r="N672" s="7">
        <v>0.696</v>
      </c>
      <c r="O672" s="8">
        <v>4262.0</v>
      </c>
      <c r="P672" s="7">
        <v>8296.24</v>
      </c>
      <c r="Q672" s="7">
        <v>4962363.0</v>
      </c>
      <c r="R672" s="7">
        <v>1.67</v>
      </c>
      <c r="S672" s="7">
        <v>11867.0</v>
      </c>
      <c r="T672" s="7">
        <v>668.82</v>
      </c>
      <c r="U672" s="7">
        <v>3502.0</v>
      </c>
      <c r="V672" s="7">
        <v>0.19</v>
      </c>
      <c r="W672" s="7">
        <v>1447.0</v>
      </c>
      <c r="X672" s="7">
        <v>464.03</v>
      </c>
      <c r="Y672" s="7">
        <v>341177.0</v>
      </c>
      <c r="Z672" s="7">
        <v>1.36</v>
      </c>
      <c r="AA672" s="7">
        <v>347.0</v>
      </c>
      <c r="AB672" s="7"/>
      <c r="AC672" s="7"/>
      <c r="AD672" s="7"/>
    </row>
    <row r="673" ht="15.75" customHeight="1">
      <c r="A673" s="6">
        <v>45233.0</v>
      </c>
      <c r="B673" s="7">
        <f t="shared" si="1"/>
        <v>3</v>
      </c>
      <c r="C673" s="7">
        <f t="shared" si="2"/>
        <v>11</v>
      </c>
      <c r="D673" s="7">
        <v>13195.29</v>
      </c>
      <c r="E673" s="7">
        <v>15478.0</v>
      </c>
      <c r="F673" s="7">
        <v>20290.0</v>
      </c>
      <c r="G673" s="7">
        <v>35768.0</v>
      </c>
      <c r="H673" s="7">
        <v>325.72</v>
      </c>
      <c r="I673" s="7">
        <v>4535.0</v>
      </c>
      <c r="J673" s="7">
        <v>0.072</v>
      </c>
      <c r="K673" s="7">
        <v>3572.0</v>
      </c>
      <c r="L673" s="7">
        <v>3104.32</v>
      </c>
      <c r="M673" s="7">
        <v>4188.0</v>
      </c>
      <c r="N673" s="7">
        <v>0.741</v>
      </c>
      <c r="O673" s="8">
        <v>3973.0</v>
      </c>
      <c r="P673" s="7">
        <v>8610.66</v>
      </c>
      <c r="Q673" s="7">
        <v>4701835.0</v>
      </c>
      <c r="R673" s="7">
        <v>1.83</v>
      </c>
      <c r="S673" s="7">
        <v>11010.0</v>
      </c>
      <c r="T673" s="7">
        <v>590.58</v>
      </c>
      <c r="U673" s="7">
        <v>2306.0</v>
      </c>
      <c r="V673" s="7">
        <v>0.26</v>
      </c>
      <c r="W673" s="7">
        <v>1102.0</v>
      </c>
      <c r="X673" s="7">
        <v>564.01</v>
      </c>
      <c r="Y673" s="7">
        <v>440567.0</v>
      </c>
      <c r="Z673" s="7">
        <v>1.28</v>
      </c>
      <c r="AA673" s="7">
        <v>455.0</v>
      </c>
      <c r="AB673" s="7"/>
      <c r="AC673" s="7"/>
      <c r="AD673" s="7"/>
    </row>
    <row r="674" ht="15.75" customHeight="1">
      <c r="A674" s="6">
        <v>45234.0</v>
      </c>
      <c r="B674" s="7">
        <f t="shared" si="1"/>
        <v>4</v>
      </c>
      <c r="C674" s="7">
        <f t="shared" si="2"/>
        <v>11</v>
      </c>
      <c r="D674" s="7">
        <v>14895.26</v>
      </c>
      <c r="E674" s="7">
        <v>14826.0</v>
      </c>
      <c r="F674" s="7">
        <v>22222.0</v>
      </c>
      <c r="G674" s="7">
        <v>37048.0</v>
      </c>
      <c r="H674" s="7">
        <v>310.87</v>
      </c>
      <c r="I674" s="7">
        <v>4584.0</v>
      </c>
      <c r="J674" s="7">
        <v>0.068</v>
      </c>
      <c r="K674" s="7">
        <v>3543.0</v>
      </c>
      <c r="L674" s="7">
        <v>4380.37</v>
      </c>
      <c r="M674" s="7">
        <v>5500.0</v>
      </c>
      <c r="N674" s="7">
        <v>0.796</v>
      </c>
      <c r="O674" s="8">
        <v>4776.0</v>
      </c>
      <c r="P674" s="7">
        <v>8917.77</v>
      </c>
      <c r="Q674" s="7">
        <v>4668151.0</v>
      </c>
      <c r="R674" s="7">
        <v>1.91</v>
      </c>
      <c r="S674" s="7">
        <v>12797.0</v>
      </c>
      <c r="T674" s="7">
        <v>570.77</v>
      </c>
      <c r="U674" s="7">
        <v>2312.0</v>
      </c>
      <c r="V674" s="7">
        <v>0.25</v>
      </c>
      <c r="W674" s="7">
        <v>1106.0</v>
      </c>
      <c r="X674" s="7">
        <v>715.48</v>
      </c>
      <c r="Y674" s="7">
        <v>559317.0</v>
      </c>
      <c r="Z674" s="7">
        <v>1.28</v>
      </c>
      <c r="AA674" s="7">
        <v>446.0</v>
      </c>
      <c r="AB674" s="7"/>
      <c r="AC674" s="7"/>
      <c r="AD674" s="7"/>
    </row>
    <row r="675" ht="15.75" customHeight="1">
      <c r="A675" s="6">
        <v>45235.0</v>
      </c>
      <c r="B675" s="7">
        <f t="shared" si="1"/>
        <v>5</v>
      </c>
      <c r="C675" s="7">
        <f t="shared" si="2"/>
        <v>11</v>
      </c>
      <c r="D675" s="7">
        <v>16138.23</v>
      </c>
      <c r="E675" s="7">
        <v>17244.0</v>
      </c>
      <c r="F675" s="7">
        <v>26032.0</v>
      </c>
      <c r="G675" s="7">
        <v>43276.0</v>
      </c>
      <c r="H675" s="7">
        <v>336.11</v>
      </c>
      <c r="I675" s="7">
        <v>5626.0</v>
      </c>
      <c r="J675" s="7">
        <v>0.06</v>
      </c>
      <c r="K675" s="7">
        <v>4268.0</v>
      </c>
      <c r="L675" s="7">
        <v>5404.57</v>
      </c>
      <c r="M675" s="7">
        <v>7219.0</v>
      </c>
      <c r="N675" s="7">
        <v>0.749</v>
      </c>
      <c r="O675" s="8">
        <v>6288.0</v>
      </c>
      <c r="P675" s="7">
        <v>9046.35</v>
      </c>
      <c r="Q675" s="7">
        <v>5223341.0</v>
      </c>
      <c r="R675" s="7">
        <v>1.73</v>
      </c>
      <c r="S675" s="7">
        <v>14170.0</v>
      </c>
      <c r="T675" s="7">
        <v>597.91</v>
      </c>
      <c r="U675" s="7">
        <v>1771.0</v>
      </c>
      <c r="V675" s="7">
        <v>0.34</v>
      </c>
      <c r="W675" s="7">
        <v>1111.0</v>
      </c>
      <c r="X675" s="7">
        <v>753.29</v>
      </c>
      <c r="Y675" s="7">
        <v>562634.0</v>
      </c>
      <c r="Z675" s="7">
        <v>1.34</v>
      </c>
      <c r="AA675" s="7">
        <v>534.0</v>
      </c>
      <c r="AB675" s="7"/>
      <c r="AC675" s="7"/>
      <c r="AD675" s="7"/>
    </row>
    <row r="676" ht="15.75" customHeight="1">
      <c r="A676" s="6">
        <v>45236.0</v>
      </c>
      <c r="B676" s="7">
        <f t="shared" si="1"/>
        <v>6</v>
      </c>
      <c r="C676" s="7">
        <f t="shared" si="2"/>
        <v>11</v>
      </c>
      <c r="D676" s="7">
        <v>15058.04</v>
      </c>
      <c r="E676" s="7">
        <v>16676.0</v>
      </c>
      <c r="F676" s="7">
        <v>22842.0</v>
      </c>
      <c r="G676" s="7">
        <v>39518.0</v>
      </c>
      <c r="H676" s="7">
        <v>383.65</v>
      </c>
      <c r="I676" s="7">
        <v>4961.0</v>
      </c>
      <c r="J676" s="7">
        <v>0.077</v>
      </c>
      <c r="K676" s="7">
        <v>4062.0</v>
      </c>
      <c r="L676" s="7">
        <v>4632.59</v>
      </c>
      <c r="M676" s="7">
        <v>5826.0</v>
      </c>
      <c r="N676" s="7">
        <v>0.795</v>
      </c>
      <c r="O676" s="8">
        <v>5108.0</v>
      </c>
      <c r="P676" s="7">
        <v>8805.98</v>
      </c>
      <c r="Q676" s="7">
        <v>5198156.0</v>
      </c>
      <c r="R676" s="7">
        <v>1.69</v>
      </c>
      <c r="S676" s="7">
        <v>12246.0</v>
      </c>
      <c r="T676" s="7">
        <v>719.2</v>
      </c>
      <c r="U676" s="7">
        <v>1650.0</v>
      </c>
      <c r="V676" s="7">
        <v>0.44</v>
      </c>
      <c r="W676" s="7">
        <v>1004.0</v>
      </c>
      <c r="X676" s="7">
        <v>516.62</v>
      </c>
      <c r="Y676" s="7">
        <v>331232.0</v>
      </c>
      <c r="Z676" s="7">
        <v>1.56</v>
      </c>
      <c r="AA676" s="7">
        <v>277.0</v>
      </c>
      <c r="AB676" s="7"/>
      <c r="AC676" s="7"/>
      <c r="AD676" s="7"/>
    </row>
    <row r="677" ht="15.75" customHeight="1">
      <c r="A677" s="6">
        <v>45237.0</v>
      </c>
      <c r="B677" s="7">
        <f t="shared" si="1"/>
        <v>7</v>
      </c>
      <c r="C677" s="7">
        <f t="shared" si="2"/>
        <v>11</v>
      </c>
      <c r="D677" s="7">
        <v>13861.22</v>
      </c>
      <c r="E677" s="7">
        <v>16082.0</v>
      </c>
      <c r="F677" s="7">
        <v>20999.0</v>
      </c>
      <c r="G677" s="7">
        <v>37081.0</v>
      </c>
      <c r="H677" s="7">
        <v>424.08</v>
      </c>
      <c r="I677" s="7">
        <v>4998.0</v>
      </c>
      <c r="J677" s="7">
        <v>0.085</v>
      </c>
      <c r="K677" s="7">
        <v>4094.0</v>
      </c>
      <c r="L677" s="7">
        <v>3804.85</v>
      </c>
      <c r="M677" s="7">
        <v>4894.0</v>
      </c>
      <c r="N677" s="7">
        <v>0.777</v>
      </c>
      <c r="O677" s="8">
        <v>4320.0</v>
      </c>
      <c r="P677" s="7">
        <v>8428.55</v>
      </c>
      <c r="Q677" s="7">
        <v>4455806.0</v>
      </c>
      <c r="R677" s="7">
        <v>1.89</v>
      </c>
      <c r="S677" s="7">
        <v>11592.0</v>
      </c>
      <c r="T677" s="7">
        <v>803.03</v>
      </c>
      <c r="U677" s="7">
        <v>2227.0</v>
      </c>
      <c r="V677" s="7">
        <v>0.36</v>
      </c>
      <c r="W677" s="7">
        <v>1038.0</v>
      </c>
      <c r="X677" s="7">
        <v>400.71</v>
      </c>
      <c r="Y677" s="7">
        <v>334641.0</v>
      </c>
      <c r="Z677" s="7">
        <v>1.2</v>
      </c>
      <c r="AA677" s="7">
        <v>220.0</v>
      </c>
      <c r="AB677" s="7"/>
      <c r="AC677" s="7"/>
      <c r="AD677" s="7"/>
    </row>
    <row r="678" ht="15.75" customHeight="1">
      <c r="A678" s="6">
        <v>45238.0</v>
      </c>
      <c r="B678" s="7">
        <f t="shared" si="1"/>
        <v>8</v>
      </c>
      <c r="C678" s="7">
        <f t="shared" si="2"/>
        <v>11</v>
      </c>
      <c r="D678" s="7">
        <v>13121.41</v>
      </c>
      <c r="E678" s="7">
        <v>15149.0</v>
      </c>
      <c r="F678" s="7">
        <v>19235.0</v>
      </c>
      <c r="G678" s="7">
        <v>34384.0</v>
      </c>
      <c r="H678" s="7">
        <v>380.15</v>
      </c>
      <c r="I678" s="7">
        <v>4548.0</v>
      </c>
      <c r="J678" s="7">
        <v>0.084</v>
      </c>
      <c r="K678" s="7">
        <v>3660.0</v>
      </c>
      <c r="L678" s="7">
        <v>3196.56</v>
      </c>
      <c r="M678" s="7">
        <v>4137.0</v>
      </c>
      <c r="N678" s="7">
        <v>0.773</v>
      </c>
      <c r="O678" s="8">
        <v>3753.0</v>
      </c>
      <c r="P678" s="7">
        <v>8313.45</v>
      </c>
      <c r="Q678" s="7">
        <v>4198304.0</v>
      </c>
      <c r="R678" s="7">
        <v>1.98</v>
      </c>
      <c r="S678" s="7">
        <v>10553.0</v>
      </c>
      <c r="T678" s="7">
        <v>766.57</v>
      </c>
      <c r="U678" s="7">
        <v>2643.0</v>
      </c>
      <c r="V678" s="7">
        <v>0.29</v>
      </c>
      <c r="W678" s="7">
        <v>1129.0</v>
      </c>
      <c r="X678" s="7">
        <v>464.68</v>
      </c>
      <c r="Y678" s="7">
        <v>358917.0</v>
      </c>
      <c r="Z678" s="7">
        <v>1.29</v>
      </c>
      <c r="AA678" s="7">
        <v>302.0</v>
      </c>
      <c r="AB678" s="7"/>
      <c r="AC678" s="7"/>
      <c r="AD678" s="7"/>
    </row>
    <row r="679" ht="15.75" customHeight="1">
      <c r="A679" s="6">
        <v>45239.0</v>
      </c>
      <c r="B679" s="7">
        <f t="shared" si="1"/>
        <v>9</v>
      </c>
      <c r="C679" s="7">
        <f t="shared" si="2"/>
        <v>11</v>
      </c>
      <c r="D679" s="7">
        <v>13189.51</v>
      </c>
      <c r="E679" s="7">
        <v>14409.0</v>
      </c>
      <c r="F679" s="7">
        <v>18969.0</v>
      </c>
      <c r="G679" s="7">
        <v>33378.0</v>
      </c>
      <c r="H679" s="7">
        <v>364.62</v>
      </c>
      <c r="I679" s="7">
        <v>4393.0</v>
      </c>
      <c r="J679" s="7">
        <v>0.083</v>
      </c>
      <c r="K679" s="7">
        <v>3541.0</v>
      </c>
      <c r="L679" s="7">
        <v>3191.25</v>
      </c>
      <c r="M679" s="7">
        <v>4027.0</v>
      </c>
      <c r="N679" s="7">
        <v>0.792</v>
      </c>
      <c r="O679" s="8">
        <v>3714.0</v>
      </c>
      <c r="P679" s="7">
        <v>8576.9</v>
      </c>
      <c r="Q679" s="7">
        <v>4156282.0</v>
      </c>
      <c r="R679" s="7">
        <v>2.06</v>
      </c>
      <c r="S679" s="7">
        <v>10471.0</v>
      </c>
      <c r="T679" s="7">
        <v>712.1</v>
      </c>
      <c r="U679" s="7">
        <v>2405.0</v>
      </c>
      <c r="V679" s="7">
        <v>0.3</v>
      </c>
      <c r="W679" s="7">
        <v>1041.0</v>
      </c>
      <c r="X679" s="7">
        <v>344.64</v>
      </c>
      <c r="Y679" s="7">
        <v>302983.0</v>
      </c>
      <c r="Z679" s="7">
        <v>1.14</v>
      </c>
      <c r="AA679" s="7">
        <v>223.0</v>
      </c>
      <c r="AB679" s="7"/>
      <c r="AC679" s="7"/>
      <c r="AD679" s="7"/>
    </row>
    <row r="680" ht="15.75" customHeight="1">
      <c r="A680" s="6">
        <v>45240.0</v>
      </c>
      <c r="B680" s="7">
        <f t="shared" si="1"/>
        <v>10</v>
      </c>
      <c r="C680" s="7">
        <f t="shared" si="2"/>
        <v>11</v>
      </c>
      <c r="D680" s="7">
        <v>13151.65</v>
      </c>
      <c r="E680" s="7">
        <v>13883.0</v>
      </c>
      <c r="F680" s="7">
        <v>18676.0</v>
      </c>
      <c r="G680" s="7">
        <v>32559.0</v>
      </c>
      <c r="H680" s="7">
        <v>301.08</v>
      </c>
      <c r="I680" s="7">
        <v>4108.0</v>
      </c>
      <c r="J680" s="7">
        <v>0.073</v>
      </c>
      <c r="K680" s="7">
        <v>3322.0</v>
      </c>
      <c r="L680" s="7">
        <v>3304.55</v>
      </c>
      <c r="M680" s="7">
        <v>4244.0</v>
      </c>
      <c r="N680" s="7">
        <v>0.779</v>
      </c>
      <c r="O680" s="8">
        <v>3813.0</v>
      </c>
      <c r="P680" s="7">
        <v>8439.83</v>
      </c>
      <c r="Q680" s="7">
        <v>3904483.0</v>
      </c>
      <c r="R680" s="7">
        <v>2.16</v>
      </c>
      <c r="S680" s="7">
        <v>10240.0</v>
      </c>
      <c r="T680" s="7">
        <v>700.05</v>
      </c>
      <c r="U680" s="7">
        <v>3010.0</v>
      </c>
      <c r="V680" s="7">
        <v>0.23</v>
      </c>
      <c r="W680" s="7">
        <v>1174.0</v>
      </c>
      <c r="X680" s="7">
        <v>406.14</v>
      </c>
      <c r="Y680" s="7">
        <v>341022.0</v>
      </c>
      <c r="Z680" s="7">
        <v>1.19</v>
      </c>
      <c r="AA680" s="7">
        <v>243.0</v>
      </c>
      <c r="AB680" s="7"/>
      <c r="AC680" s="7"/>
      <c r="AD680" s="7"/>
    </row>
    <row r="681" ht="15.75" customHeight="1">
      <c r="A681" s="6">
        <v>45241.0</v>
      </c>
      <c r="B681" s="7">
        <f t="shared" si="1"/>
        <v>11</v>
      </c>
      <c r="C681" s="7">
        <f t="shared" si="2"/>
        <v>11</v>
      </c>
      <c r="D681" s="7">
        <v>13611.08</v>
      </c>
      <c r="E681" s="7">
        <v>13019.0</v>
      </c>
      <c r="F681" s="7">
        <v>19745.0</v>
      </c>
      <c r="G681" s="7">
        <v>32764.0</v>
      </c>
      <c r="H681" s="7">
        <v>286.95</v>
      </c>
      <c r="I681" s="7">
        <v>4350.0</v>
      </c>
      <c r="J681" s="7">
        <v>0.066</v>
      </c>
      <c r="K681" s="7">
        <v>3438.0</v>
      </c>
      <c r="L681" s="7">
        <v>3643.27</v>
      </c>
      <c r="M681" s="7">
        <v>4792.0</v>
      </c>
      <c r="N681" s="7">
        <v>0.76</v>
      </c>
      <c r="O681" s="8">
        <v>4199.0</v>
      </c>
      <c r="P681" s="7">
        <v>8644.63</v>
      </c>
      <c r="Q681" s="7">
        <v>3762767.0</v>
      </c>
      <c r="R681" s="7">
        <v>2.3</v>
      </c>
      <c r="S681" s="7">
        <v>10655.0</v>
      </c>
      <c r="T681" s="7">
        <v>590.83</v>
      </c>
      <c r="U681" s="7">
        <v>2058.0</v>
      </c>
      <c r="V681" s="7">
        <v>0.29</v>
      </c>
      <c r="W681" s="7">
        <v>912.0</v>
      </c>
      <c r="X681" s="7">
        <v>445.4</v>
      </c>
      <c r="Y681" s="7">
        <v>348460.0</v>
      </c>
      <c r="Z681" s="7">
        <v>1.28</v>
      </c>
      <c r="AA681" s="7">
        <v>245.0</v>
      </c>
      <c r="AB681" s="7"/>
      <c r="AC681" s="7"/>
      <c r="AD681" s="7"/>
    </row>
    <row r="682" ht="15.75" customHeight="1">
      <c r="A682" s="6">
        <v>45242.0</v>
      </c>
      <c r="B682" s="7">
        <f t="shared" si="1"/>
        <v>12</v>
      </c>
      <c r="C682" s="7">
        <f t="shared" si="2"/>
        <v>11</v>
      </c>
      <c r="D682" s="7">
        <v>16023.47</v>
      </c>
      <c r="E682" s="7">
        <v>16092.0</v>
      </c>
      <c r="F682" s="7">
        <v>24422.0</v>
      </c>
      <c r="G682" s="7">
        <v>40514.0</v>
      </c>
      <c r="H682" s="7">
        <v>360.65</v>
      </c>
      <c r="I682" s="7">
        <v>5598.0</v>
      </c>
      <c r="J682" s="7">
        <v>0.064</v>
      </c>
      <c r="K682" s="7">
        <v>4461.0</v>
      </c>
      <c r="L682" s="7">
        <v>5466.25</v>
      </c>
      <c r="M682" s="7">
        <v>7377.0</v>
      </c>
      <c r="N682" s="7">
        <v>0.741</v>
      </c>
      <c r="O682" s="8">
        <v>6045.0</v>
      </c>
      <c r="P682" s="7">
        <v>8972.83</v>
      </c>
      <c r="Q682" s="7">
        <v>4276362.0</v>
      </c>
      <c r="R682" s="7">
        <v>2.1</v>
      </c>
      <c r="S682" s="7">
        <v>13018.0</v>
      </c>
      <c r="T682" s="7">
        <v>761.34</v>
      </c>
      <c r="U682" s="7">
        <v>2780.0</v>
      </c>
      <c r="V682" s="7">
        <v>0.27</v>
      </c>
      <c r="W682" s="7">
        <v>1149.0</v>
      </c>
      <c r="X682" s="7">
        <v>462.4</v>
      </c>
      <c r="Y682" s="7">
        <v>397458.0</v>
      </c>
      <c r="Z682" s="7">
        <v>1.16</v>
      </c>
      <c r="AA682" s="7">
        <v>308.0</v>
      </c>
      <c r="AB682" s="7"/>
      <c r="AC682" s="7"/>
      <c r="AD682" s="7"/>
    </row>
    <row r="683" ht="15.75" customHeight="1">
      <c r="A683" s="6">
        <v>45243.0</v>
      </c>
      <c r="B683" s="7">
        <f t="shared" si="1"/>
        <v>13</v>
      </c>
      <c r="C683" s="7">
        <f t="shared" si="2"/>
        <v>11</v>
      </c>
      <c r="D683" s="7">
        <v>14789.78</v>
      </c>
      <c r="E683" s="7">
        <v>15649.0</v>
      </c>
      <c r="F683" s="7">
        <v>21443.0</v>
      </c>
      <c r="G683" s="7">
        <v>37092.0</v>
      </c>
      <c r="H683" s="7">
        <v>381.45</v>
      </c>
      <c r="I683" s="7">
        <v>5086.0</v>
      </c>
      <c r="J683" s="7">
        <v>0.075</v>
      </c>
      <c r="K683" s="7">
        <v>4158.0</v>
      </c>
      <c r="L683" s="7">
        <v>4586.87</v>
      </c>
      <c r="M683" s="7">
        <v>5757.0</v>
      </c>
      <c r="N683" s="7">
        <v>0.797</v>
      </c>
      <c r="O683" s="8">
        <v>5110.0</v>
      </c>
      <c r="P683" s="7">
        <v>8688.51</v>
      </c>
      <c r="Q683" s="7">
        <v>4477156.0</v>
      </c>
      <c r="R683" s="7">
        <v>1.94</v>
      </c>
      <c r="S683" s="7">
        <v>11173.0</v>
      </c>
      <c r="T683" s="7">
        <v>717.0</v>
      </c>
      <c r="U683" s="7">
        <v>1864.0</v>
      </c>
      <c r="V683" s="7">
        <v>0.38</v>
      </c>
      <c r="W683" s="7">
        <v>942.0</v>
      </c>
      <c r="X683" s="7">
        <v>415.95</v>
      </c>
      <c r="Y683" s="7">
        <v>356479.0</v>
      </c>
      <c r="Z683" s="7">
        <v>1.17</v>
      </c>
      <c r="AA683" s="7">
        <v>252.0</v>
      </c>
      <c r="AB683" s="7"/>
      <c r="AC683" s="7"/>
      <c r="AD683" s="7"/>
    </row>
    <row r="684" ht="15.75" customHeight="1">
      <c r="A684" s="6">
        <v>45244.0</v>
      </c>
      <c r="B684" s="7">
        <f t="shared" si="1"/>
        <v>14</v>
      </c>
      <c r="C684" s="7">
        <f t="shared" si="2"/>
        <v>11</v>
      </c>
      <c r="D684" s="7">
        <v>14403.65</v>
      </c>
      <c r="E684" s="7">
        <v>15589.0</v>
      </c>
      <c r="F684" s="7">
        <v>20665.0</v>
      </c>
      <c r="G684" s="7">
        <v>36254.0</v>
      </c>
      <c r="H684" s="7">
        <v>392.89</v>
      </c>
      <c r="I684" s="7">
        <v>4684.0</v>
      </c>
      <c r="J684" s="7">
        <v>0.084</v>
      </c>
      <c r="K684" s="7">
        <v>3904.0</v>
      </c>
      <c r="L684" s="7">
        <v>4480.69</v>
      </c>
      <c r="M684" s="7">
        <v>5654.0</v>
      </c>
      <c r="N684" s="7">
        <v>0.792</v>
      </c>
      <c r="O684" s="8">
        <v>4890.0</v>
      </c>
      <c r="P684" s="7">
        <v>8389.13</v>
      </c>
      <c r="Q684" s="7">
        <v>3947168.0</v>
      </c>
      <c r="R684" s="7">
        <v>2.13</v>
      </c>
      <c r="S684" s="7">
        <v>10730.0</v>
      </c>
      <c r="T684" s="7">
        <v>722.07</v>
      </c>
      <c r="U684" s="7">
        <v>1947.0</v>
      </c>
      <c r="V684" s="7">
        <v>0.37</v>
      </c>
      <c r="W684" s="7">
        <v>1070.0</v>
      </c>
      <c r="X684" s="7">
        <v>418.87</v>
      </c>
      <c r="Y684" s="7">
        <v>335368.0</v>
      </c>
      <c r="Z684" s="7">
        <v>1.25</v>
      </c>
      <c r="AA684" s="7">
        <v>201.0</v>
      </c>
      <c r="AB684" s="7"/>
      <c r="AC684" s="7"/>
      <c r="AD684" s="7"/>
    </row>
    <row r="685" ht="15.75" customHeight="1">
      <c r="A685" s="6">
        <v>45245.0</v>
      </c>
      <c r="B685" s="7">
        <f t="shared" si="1"/>
        <v>15</v>
      </c>
      <c r="C685" s="7">
        <f t="shared" si="2"/>
        <v>11</v>
      </c>
      <c r="D685" s="7">
        <v>13508.92</v>
      </c>
      <c r="E685" s="7">
        <v>15443.0</v>
      </c>
      <c r="F685" s="7">
        <v>18870.0</v>
      </c>
      <c r="G685" s="7">
        <v>34313.0</v>
      </c>
      <c r="H685" s="7">
        <v>368.51</v>
      </c>
      <c r="I685" s="7">
        <v>4606.0</v>
      </c>
      <c r="J685" s="7">
        <v>0.08</v>
      </c>
      <c r="K685" s="7">
        <v>3778.0</v>
      </c>
      <c r="L685" s="7">
        <v>3712.02</v>
      </c>
      <c r="M685" s="7">
        <v>5005.0</v>
      </c>
      <c r="N685" s="7">
        <v>0.742</v>
      </c>
      <c r="O685" s="8">
        <v>4482.0</v>
      </c>
      <c r="P685" s="7">
        <v>8228.84</v>
      </c>
      <c r="Q685" s="7">
        <v>3699943.0</v>
      </c>
      <c r="R685" s="7">
        <v>2.22</v>
      </c>
      <c r="S685" s="7">
        <v>9469.0</v>
      </c>
      <c r="T685" s="7">
        <v>714.13</v>
      </c>
      <c r="U685" s="7">
        <v>2083.0</v>
      </c>
      <c r="V685" s="7">
        <v>0.34</v>
      </c>
      <c r="W685" s="7">
        <v>1038.0</v>
      </c>
      <c r="X685" s="7">
        <v>485.42</v>
      </c>
      <c r="Y685" s="7">
        <v>363531.0</v>
      </c>
      <c r="Z685" s="7">
        <v>1.34</v>
      </c>
      <c r="AA685" s="7">
        <v>240.0</v>
      </c>
      <c r="AB685" s="7"/>
      <c r="AC685" s="7"/>
      <c r="AD685" s="7"/>
    </row>
    <row r="686" ht="15.75" customHeight="1">
      <c r="A686" s="6">
        <v>45246.0</v>
      </c>
      <c r="B686" s="7">
        <f t="shared" si="1"/>
        <v>16</v>
      </c>
      <c r="C686" s="7">
        <f t="shared" si="2"/>
        <v>11</v>
      </c>
      <c r="D686" s="7">
        <v>12779.34</v>
      </c>
      <c r="E686" s="7">
        <v>14310.0</v>
      </c>
      <c r="F686" s="7">
        <v>17152.0</v>
      </c>
      <c r="G686" s="7">
        <v>31462.0</v>
      </c>
      <c r="H686" s="7">
        <v>349.65</v>
      </c>
      <c r="I686" s="7">
        <v>4435.0</v>
      </c>
      <c r="J686" s="7">
        <v>0.079</v>
      </c>
      <c r="K686" s="7">
        <v>3560.0</v>
      </c>
      <c r="L686" s="7">
        <v>3060.67</v>
      </c>
      <c r="M686" s="7">
        <v>4171.0</v>
      </c>
      <c r="N686" s="7">
        <v>0.734</v>
      </c>
      <c r="O686" s="8">
        <v>3767.0</v>
      </c>
      <c r="P686" s="7">
        <v>8273.28</v>
      </c>
      <c r="Q686" s="7">
        <v>3450153.0</v>
      </c>
      <c r="R686" s="7">
        <v>2.4</v>
      </c>
      <c r="S686" s="7">
        <v>8735.0</v>
      </c>
      <c r="T686" s="7">
        <v>623.57</v>
      </c>
      <c r="U686" s="7">
        <v>1721.0</v>
      </c>
      <c r="V686" s="7">
        <v>0.36</v>
      </c>
      <c r="W686" s="7">
        <v>842.0</v>
      </c>
      <c r="X686" s="7">
        <v>472.17</v>
      </c>
      <c r="Y686" s="7">
        <v>330913.0</v>
      </c>
      <c r="Z686" s="7">
        <v>1.43</v>
      </c>
      <c r="AA686" s="7">
        <v>213.0</v>
      </c>
      <c r="AB686" s="7"/>
      <c r="AC686" s="7"/>
      <c r="AD686" s="7"/>
    </row>
    <row r="687" ht="15.75" customHeight="1">
      <c r="A687" s="6">
        <v>45247.0</v>
      </c>
      <c r="B687" s="7">
        <f t="shared" si="1"/>
        <v>17</v>
      </c>
      <c r="C687" s="7">
        <f t="shared" si="2"/>
        <v>11</v>
      </c>
      <c r="D687" s="7">
        <v>12615.63</v>
      </c>
      <c r="E687" s="7">
        <v>15956.0</v>
      </c>
      <c r="F687" s="7">
        <v>16512.0</v>
      </c>
      <c r="G687" s="7">
        <v>32468.0</v>
      </c>
      <c r="H687" s="7">
        <v>344.7</v>
      </c>
      <c r="I687" s="7">
        <v>4792.0</v>
      </c>
      <c r="J687" s="7">
        <v>0.072</v>
      </c>
      <c r="K687" s="7">
        <v>3847.0</v>
      </c>
      <c r="L687" s="7">
        <v>2973.53</v>
      </c>
      <c r="M687" s="7">
        <v>3824.0</v>
      </c>
      <c r="N687" s="7">
        <v>0.778</v>
      </c>
      <c r="O687" s="8">
        <v>3454.0</v>
      </c>
      <c r="P687" s="7">
        <v>8083.9</v>
      </c>
      <c r="Q687" s="7">
        <v>3243372.0</v>
      </c>
      <c r="R687" s="7">
        <v>2.49</v>
      </c>
      <c r="S687" s="7">
        <v>8134.0</v>
      </c>
      <c r="T687" s="7">
        <v>796.67</v>
      </c>
      <c r="U687" s="7">
        <v>2476.0</v>
      </c>
      <c r="V687" s="7">
        <v>0.32</v>
      </c>
      <c r="W687" s="7">
        <v>1020.0</v>
      </c>
      <c r="X687" s="7">
        <v>416.83</v>
      </c>
      <c r="Y687" s="7">
        <v>383164.0</v>
      </c>
      <c r="Z687" s="7">
        <v>1.09</v>
      </c>
      <c r="AA687" s="7">
        <v>146.0</v>
      </c>
      <c r="AB687" s="7"/>
      <c r="AC687" s="7"/>
      <c r="AD687" s="7"/>
    </row>
    <row r="688" ht="15.75" customHeight="1">
      <c r="A688" s="6">
        <v>45248.0</v>
      </c>
      <c r="B688" s="7">
        <f t="shared" si="1"/>
        <v>18</v>
      </c>
      <c r="C688" s="7">
        <f t="shared" si="2"/>
        <v>11</v>
      </c>
      <c r="D688" s="7">
        <v>13144.22</v>
      </c>
      <c r="E688" s="7">
        <v>12791.0</v>
      </c>
      <c r="F688" s="7">
        <v>16598.0</v>
      </c>
      <c r="G688" s="7">
        <v>29389.0</v>
      </c>
      <c r="H688" s="7">
        <v>320.92</v>
      </c>
      <c r="I688" s="7">
        <v>4254.0</v>
      </c>
      <c r="J688" s="7">
        <v>0.075</v>
      </c>
      <c r="K688" s="7">
        <v>3321.0</v>
      </c>
      <c r="L688" s="7">
        <v>3478.61</v>
      </c>
      <c r="M688" s="7">
        <v>4507.0</v>
      </c>
      <c r="N688" s="7">
        <v>0.772</v>
      </c>
      <c r="O688" s="8">
        <v>4049.0</v>
      </c>
      <c r="P688" s="7">
        <v>8101.41</v>
      </c>
      <c r="Q688" s="7">
        <v>3220225.0</v>
      </c>
      <c r="R688" s="7">
        <v>2.52</v>
      </c>
      <c r="S688" s="7">
        <v>8291.0</v>
      </c>
      <c r="T688" s="7">
        <v>737.79</v>
      </c>
      <c r="U688" s="7">
        <v>1767.0</v>
      </c>
      <c r="V688" s="7">
        <v>0.42</v>
      </c>
      <c r="W688" s="7">
        <v>960.0</v>
      </c>
      <c r="X688" s="7">
        <v>505.49</v>
      </c>
      <c r="Y688" s="7">
        <v>444328.0</v>
      </c>
      <c r="Z688" s="7">
        <v>1.14</v>
      </c>
      <c r="AA688" s="7">
        <v>199.0</v>
      </c>
      <c r="AB688" s="7"/>
      <c r="AC688" s="7"/>
      <c r="AD688" s="7"/>
    </row>
    <row r="689" ht="15.75" customHeight="1">
      <c r="A689" s="6">
        <v>45249.0</v>
      </c>
      <c r="B689" s="7">
        <f t="shared" si="1"/>
        <v>19</v>
      </c>
      <c r="C689" s="7">
        <f t="shared" si="2"/>
        <v>11</v>
      </c>
      <c r="D689" s="7">
        <v>13735.26</v>
      </c>
      <c r="E689" s="7">
        <v>14425.0</v>
      </c>
      <c r="F689" s="7">
        <v>19311.0</v>
      </c>
      <c r="G689" s="7">
        <v>33736.0</v>
      </c>
      <c r="H689" s="7">
        <v>387.2</v>
      </c>
      <c r="I689" s="7">
        <v>5052.0</v>
      </c>
      <c r="J689" s="7">
        <v>0.077</v>
      </c>
      <c r="K689" s="7">
        <v>3869.0</v>
      </c>
      <c r="L689" s="7">
        <v>4386.25</v>
      </c>
      <c r="M689" s="7">
        <v>5924.0</v>
      </c>
      <c r="N689" s="7">
        <v>0.74</v>
      </c>
      <c r="O689" s="8">
        <v>4945.0</v>
      </c>
      <c r="P689" s="7">
        <v>7624.91</v>
      </c>
      <c r="Q689" s="7">
        <v>3412306.0</v>
      </c>
      <c r="R689" s="7">
        <v>2.23</v>
      </c>
      <c r="S689" s="7">
        <v>9230.0</v>
      </c>
      <c r="T689" s="7">
        <v>794.71</v>
      </c>
      <c r="U689" s="7">
        <v>2377.0</v>
      </c>
      <c r="V689" s="7">
        <v>0.33</v>
      </c>
      <c r="W689" s="7">
        <v>1034.0</v>
      </c>
      <c r="X689" s="7">
        <v>542.19</v>
      </c>
      <c r="Y689" s="7">
        <v>456987.0</v>
      </c>
      <c r="Z689" s="7">
        <v>1.19</v>
      </c>
      <c r="AA689" s="7">
        <v>299.0</v>
      </c>
      <c r="AB689" s="7"/>
      <c r="AC689" s="7"/>
      <c r="AD689" s="7"/>
    </row>
    <row r="690" ht="15.75" customHeight="1">
      <c r="A690" s="6">
        <v>45250.0</v>
      </c>
      <c r="B690" s="7">
        <f t="shared" si="1"/>
        <v>20</v>
      </c>
      <c r="C690" s="7">
        <f t="shared" si="2"/>
        <v>11</v>
      </c>
      <c r="D690" s="7">
        <v>15338.09</v>
      </c>
      <c r="E690" s="7">
        <v>23896.0</v>
      </c>
      <c r="F690" s="7">
        <v>19686.0</v>
      </c>
      <c r="G690" s="7">
        <v>43582.0</v>
      </c>
      <c r="H690" s="7">
        <v>523.54</v>
      </c>
      <c r="I690" s="7">
        <v>5852.0</v>
      </c>
      <c r="J690" s="7">
        <v>0.089</v>
      </c>
      <c r="K690" s="7">
        <v>4588.0</v>
      </c>
      <c r="L690" s="7">
        <v>3789.55</v>
      </c>
      <c r="M690" s="7">
        <v>4930.0</v>
      </c>
      <c r="N690" s="7">
        <v>0.769</v>
      </c>
      <c r="O690" s="8">
        <v>4302.0</v>
      </c>
      <c r="P690" s="7">
        <v>9585.34</v>
      </c>
      <c r="Q690" s="7">
        <v>3834947.0</v>
      </c>
      <c r="R690" s="7">
        <v>2.5</v>
      </c>
      <c r="S690" s="7">
        <v>9521.0</v>
      </c>
      <c r="T690" s="7">
        <v>782.93</v>
      </c>
      <c r="U690" s="7">
        <v>1864.0</v>
      </c>
      <c r="V690" s="7">
        <v>0.42</v>
      </c>
      <c r="W690" s="7">
        <v>1053.0</v>
      </c>
      <c r="X690" s="7">
        <v>656.73</v>
      </c>
      <c r="Y690" s="7">
        <v>852668.0</v>
      </c>
      <c r="Z690" s="7">
        <v>0.77</v>
      </c>
      <c r="AA690" s="7">
        <v>222.0</v>
      </c>
      <c r="AB690" s="7"/>
      <c r="AC690" s="7"/>
      <c r="AD690" s="7"/>
    </row>
    <row r="691" ht="15.75" customHeight="1">
      <c r="A691" s="6">
        <v>45251.0</v>
      </c>
      <c r="B691" s="7">
        <f t="shared" si="1"/>
        <v>21</v>
      </c>
      <c r="C691" s="7">
        <f t="shared" si="2"/>
        <v>11</v>
      </c>
      <c r="D691" s="7">
        <v>16284.17</v>
      </c>
      <c r="E691" s="7">
        <v>21401.0</v>
      </c>
      <c r="F691" s="7">
        <v>18655.0</v>
      </c>
      <c r="G691" s="7">
        <v>40056.0</v>
      </c>
      <c r="H691" s="7">
        <v>524.98</v>
      </c>
      <c r="I691" s="7">
        <v>6267.0</v>
      </c>
      <c r="J691" s="7">
        <v>0.084</v>
      </c>
      <c r="K691" s="7">
        <v>4762.0</v>
      </c>
      <c r="L691" s="7">
        <v>3722.24</v>
      </c>
      <c r="M691" s="7">
        <v>4931.0</v>
      </c>
      <c r="N691" s="7">
        <v>0.755</v>
      </c>
      <c r="O691" s="8">
        <v>4086.0</v>
      </c>
      <c r="P691" s="7">
        <v>10511.98</v>
      </c>
      <c r="Q691" s="7">
        <v>3683786.0</v>
      </c>
      <c r="R691" s="7">
        <v>2.85</v>
      </c>
      <c r="S691" s="7">
        <v>8989.0</v>
      </c>
      <c r="T691" s="7">
        <v>864.41</v>
      </c>
      <c r="U691" s="7">
        <v>2073.0</v>
      </c>
      <c r="V691" s="7">
        <v>0.42</v>
      </c>
      <c r="W691" s="7">
        <v>844.0</v>
      </c>
      <c r="X691" s="7">
        <v>660.56</v>
      </c>
      <c r="Y691" s="7">
        <v>796969.0</v>
      </c>
      <c r="Z691" s="7">
        <v>0.83</v>
      </c>
      <c r="AA691" s="7">
        <v>245.0</v>
      </c>
      <c r="AB691" s="7"/>
      <c r="AC691" s="7"/>
      <c r="AD691" s="7"/>
    </row>
    <row r="692" ht="15.75" customHeight="1">
      <c r="A692" s="6">
        <v>45252.0</v>
      </c>
      <c r="B692" s="7">
        <f t="shared" si="1"/>
        <v>22</v>
      </c>
      <c r="C692" s="7">
        <f t="shared" si="2"/>
        <v>11</v>
      </c>
      <c r="D692" s="7">
        <v>16410.03</v>
      </c>
      <c r="E692" s="7">
        <v>17580.0</v>
      </c>
      <c r="F692" s="7">
        <v>18802.0</v>
      </c>
      <c r="G692" s="7">
        <v>36382.0</v>
      </c>
      <c r="H692" s="7">
        <v>493.2</v>
      </c>
      <c r="I692" s="7">
        <v>5330.0</v>
      </c>
      <c r="J692" s="7">
        <v>0.093</v>
      </c>
      <c r="K692" s="7">
        <v>4362.0</v>
      </c>
      <c r="L692" s="7">
        <v>3925.99</v>
      </c>
      <c r="M692" s="7">
        <v>4767.0</v>
      </c>
      <c r="N692" s="7">
        <v>0.824</v>
      </c>
      <c r="O692" s="8">
        <v>4228.0</v>
      </c>
      <c r="P692" s="7">
        <v>10279.85</v>
      </c>
      <c r="Q692" s="7">
        <v>3494735.0</v>
      </c>
      <c r="R692" s="7">
        <v>2.94</v>
      </c>
      <c r="S692" s="7">
        <v>8943.0</v>
      </c>
      <c r="T692" s="7">
        <v>1025.77</v>
      </c>
      <c r="U692" s="7">
        <v>2405.0</v>
      </c>
      <c r="V692" s="7">
        <v>0.43</v>
      </c>
      <c r="W692" s="7">
        <v>980.0</v>
      </c>
      <c r="X692" s="7">
        <v>685.22</v>
      </c>
      <c r="Y692" s="7">
        <v>739807.0</v>
      </c>
      <c r="Z692" s="7">
        <v>0.93</v>
      </c>
      <c r="AA692" s="7">
        <v>272.0</v>
      </c>
      <c r="AB692" s="7"/>
      <c r="AC692" s="7"/>
      <c r="AD692" s="7"/>
    </row>
    <row r="693" ht="15.75" customHeight="1">
      <c r="A693" s="6">
        <v>45253.0</v>
      </c>
      <c r="B693" s="7">
        <f t="shared" si="1"/>
        <v>23</v>
      </c>
      <c r="C693" s="7">
        <f t="shared" si="2"/>
        <v>11</v>
      </c>
      <c r="D693" s="7">
        <v>16537.46</v>
      </c>
      <c r="E693" s="7">
        <v>16065.0</v>
      </c>
      <c r="F693" s="7">
        <v>17861.0</v>
      </c>
      <c r="G693" s="7">
        <v>33926.0</v>
      </c>
      <c r="H693" s="7">
        <v>464.79</v>
      </c>
      <c r="I693" s="7">
        <v>4815.0</v>
      </c>
      <c r="J693" s="7">
        <v>0.097</v>
      </c>
      <c r="K693" s="7">
        <v>3950.0</v>
      </c>
      <c r="L693" s="7">
        <v>4146.47</v>
      </c>
      <c r="M693" s="7">
        <v>4818.0</v>
      </c>
      <c r="N693" s="7">
        <v>0.861</v>
      </c>
      <c r="O693" s="8">
        <v>4203.0</v>
      </c>
      <c r="P693" s="7">
        <v>10280.2</v>
      </c>
      <c r="Q693" s="7">
        <v>3373795.0</v>
      </c>
      <c r="R693" s="7">
        <v>3.05</v>
      </c>
      <c r="S693" s="7">
        <v>8281.0</v>
      </c>
      <c r="T693" s="7">
        <v>1005.55</v>
      </c>
      <c r="U693" s="7">
        <v>3037.0</v>
      </c>
      <c r="V693" s="7">
        <v>0.33</v>
      </c>
      <c r="W693" s="7">
        <v>1039.0</v>
      </c>
      <c r="X693" s="7">
        <v>640.45</v>
      </c>
      <c r="Y693" s="7">
        <v>697038.0</v>
      </c>
      <c r="Z693" s="7">
        <v>0.92</v>
      </c>
      <c r="AA693" s="7">
        <v>236.0</v>
      </c>
      <c r="AB693" s="7"/>
      <c r="AC693" s="7"/>
      <c r="AD693" s="7"/>
    </row>
    <row r="694" ht="15.75" customHeight="1">
      <c r="A694" s="6">
        <v>45254.0</v>
      </c>
      <c r="B694" s="7">
        <f t="shared" si="1"/>
        <v>24</v>
      </c>
      <c r="C694" s="7">
        <f t="shared" si="2"/>
        <v>11</v>
      </c>
      <c r="D694" s="7">
        <v>16518.22</v>
      </c>
      <c r="E694" s="7">
        <v>16928.0</v>
      </c>
      <c r="F694" s="7">
        <v>16538.0</v>
      </c>
      <c r="G694" s="7">
        <v>33466.0</v>
      </c>
      <c r="H694" s="7">
        <v>475.56</v>
      </c>
      <c r="I694" s="7">
        <v>5010.0</v>
      </c>
      <c r="J694" s="7">
        <v>0.095</v>
      </c>
      <c r="K694" s="7">
        <v>4058.0</v>
      </c>
      <c r="L694" s="7">
        <v>3957.25</v>
      </c>
      <c r="M694" s="7">
        <v>4523.0</v>
      </c>
      <c r="N694" s="7">
        <v>0.875</v>
      </c>
      <c r="O694" s="8">
        <v>4013.0</v>
      </c>
      <c r="P694" s="7">
        <v>10598.34</v>
      </c>
      <c r="Q694" s="7">
        <v>3025524.0</v>
      </c>
      <c r="R694" s="7">
        <v>3.5</v>
      </c>
      <c r="S694" s="7">
        <v>7544.0</v>
      </c>
      <c r="T694" s="7">
        <v>1049.1</v>
      </c>
      <c r="U694" s="7">
        <v>3063.0</v>
      </c>
      <c r="V694" s="7">
        <v>0.34</v>
      </c>
      <c r="W694" s="7">
        <v>960.0</v>
      </c>
      <c r="X694" s="7">
        <v>437.97</v>
      </c>
      <c r="Y694" s="7">
        <v>419724.0</v>
      </c>
      <c r="Z694" s="7">
        <v>1.04</v>
      </c>
      <c r="AA694" s="7">
        <v>107.0</v>
      </c>
      <c r="AB694" s="7"/>
      <c r="AC694" s="7"/>
      <c r="AD694" s="7"/>
    </row>
    <row r="695" ht="15.75" customHeight="1">
      <c r="A695" s="6">
        <v>45255.0</v>
      </c>
      <c r="B695" s="7">
        <f t="shared" si="1"/>
        <v>25</v>
      </c>
      <c r="C695" s="7">
        <f t="shared" si="2"/>
        <v>11</v>
      </c>
      <c r="D695" s="7">
        <v>16289.58</v>
      </c>
      <c r="E695" s="7">
        <v>13896.0</v>
      </c>
      <c r="F695" s="7">
        <v>16563.0</v>
      </c>
      <c r="G695" s="7">
        <v>30459.0</v>
      </c>
      <c r="H695" s="7">
        <v>428.35</v>
      </c>
      <c r="I695" s="7">
        <v>4450.0</v>
      </c>
      <c r="J695" s="7">
        <v>0.096</v>
      </c>
      <c r="K695" s="7">
        <v>3585.0</v>
      </c>
      <c r="L695" s="7">
        <v>3870.26</v>
      </c>
      <c r="M695" s="7">
        <v>4708.0</v>
      </c>
      <c r="N695" s="7">
        <v>0.822</v>
      </c>
      <c r="O695" s="8">
        <v>4106.0</v>
      </c>
      <c r="P695" s="7">
        <v>10831.62</v>
      </c>
      <c r="Q695" s="7">
        <v>3251696.0</v>
      </c>
      <c r="R695" s="7">
        <v>3.33</v>
      </c>
      <c r="S695" s="7">
        <v>8271.0</v>
      </c>
      <c r="T695" s="7">
        <v>809.35</v>
      </c>
      <c r="U695" s="7">
        <v>2301.0</v>
      </c>
      <c r="V695" s="7">
        <v>0.35</v>
      </c>
      <c r="W695" s="7">
        <v>813.0</v>
      </c>
      <c r="X695" s="7">
        <v>350.0</v>
      </c>
      <c r="Y695" s="7">
        <v>355373.0</v>
      </c>
      <c r="Z695" s="7">
        <v>0.98</v>
      </c>
      <c r="AA695" s="7">
        <v>62.0</v>
      </c>
      <c r="AB695" s="7"/>
      <c r="AC695" s="7"/>
      <c r="AD695" s="7"/>
    </row>
    <row r="696" ht="15.75" customHeight="1">
      <c r="A696" s="6">
        <v>45256.0</v>
      </c>
      <c r="B696" s="7">
        <f t="shared" si="1"/>
        <v>26</v>
      </c>
      <c r="C696" s="7">
        <f t="shared" si="2"/>
        <v>11</v>
      </c>
      <c r="D696" s="7">
        <v>18439.71</v>
      </c>
      <c r="E696" s="7">
        <v>15706.0</v>
      </c>
      <c r="F696" s="7">
        <v>19866.0</v>
      </c>
      <c r="G696" s="7">
        <v>35572.0</v>
      </c>
      <c r="H696" s="7">
        <v>467.33</v>
      </c>
      <c r="I696" s="7">
        <v>5367.0</v>
      </c>
      <c r="J696" s="7">
        <v>0.087</v>
      </c>
      <c r="K696" s="7">
        <v>4182.0</v>
      </c>
      <c r="L696" s="7">
        <v>4802.29</v>
      </c>
      <c r="M696" s="7">
        <v>5909.0</v>
      </c>
      <c r="N696" s="7">
        <v>0.813</v>
      </c>
      <c r="O696" s="8">
        <v>5133.0</v>
      </c>
      <c r="P696" s="7">
        <v>11938.07</v>
      </c>
      <c r="Q696" s="7">
        <v>3964554.0</v>
      </c>
      <c r="R696" s="7">
        <v>3.01</v>
      </c>
      <c r="S696" s="7">
        <v>9665.0</v>
      </c>
      <c r="T696" s="7">
        <v>882.02</v>
      </c>
      <c r="U696" s="7">
        <v>2375.0</v>
      </c>
      <c r="V696" s="7">
        <v>0.37</v>
      </c>
      <c r="W696" s="7">
        <v>922.0</v>
      </c>
      <c r="X696" s="7">
        <v>350.0</v>
      </c>
      <c r="Y696" s="7">
        <v>326871.0</v>
      </c>
      <c r="Z696" s="7">
        <v>1.07</v>
      </c>
      <c r="AA696" s="7">
        <v>75.0</v>
      </c>
      <c r="AB696" s="7"/>
      <c r="AC696" s="7"/>
      <c r="AD696" s="7"/>
    </row>
    <row r="697" ht="15.75" customHeight="1">
      <c r="A697" s="6">
        <v>45257.0</v>
      </c>
      <c r="B697" s="7">
        <f t="shared" si="1"/>
        <v>27</v>
      </c>
      <c r="C697" s="7">
        <f t="shared" si="2"/>
        <v>11</v>
      </c>
      <c r="D697" s="7">
        <v>18216.55</v>
      </c>
      <c r="E697" s="7">
        <v>19440.0</v>
      </c>
      <c r="F697" s="7">
        <v>19287.0</v>
      </c>
      <c r="G697" s="7">
        <v>38727.0</v>
      </c>
      <c r="H697" s="7">
        <v>648.43</v>
      </c>
      <c r="I697" s="7">
        <v>6192.0</v>
      </c>
      <c r="J697" s="7">
        <v>0.105</v>
      </c>
      <c r="K697" s="7">
        <v>5200.0</v>
      </c>
      <c r="L697" s="7">
        <v>4685.5</v>
      </c>
      <c r="M697" s="7">
        <v>5365.0</v>
      </c>
      <c r="N697" s="7">
        <v>0.873</v>
      </c>
      <c r="O697" s="8">
        <v>4710.0</v>
      </c>
      <c r="P697" s="7">
        <v>11663.08</v>
      </c>
      <c r="Q697" s="7">
        <v>4019894.0</v>
      </c>
      <c r="R697" s="7">
        <v>2.9</v>
      </c>
      <c r="S697" s="7">
        <v>8662.0</v>
      </c>
      <c r="T697" s="7">
        <v>869.54</v>
      </c>
      <c r="U697" s="7">
        <v>2685.0</v>
      </c>
      <c r="V697" s="7">
        <v>0.32</v>
      </c>
      <c r="W697" s="7">
        <v>897.0</v>
      </c>
      <c r="X697" s="7">
        <v>350.0</v>
      </c>
      <c r="Y697" s="7">
        <v>387383.0</v>
      </c>
      <c r="Z697" s="7">
        <v>0.9</v>
      </c>
      <c r="AA697" s="7">
        <v>42.0</v>
      </c>
      <c r="AB697" s="7"/>
      <c r="AC697" s="7"/>
      <c r="AD697" s="7"/>
    </row>
    <row r="698" ht="15.75" customHeight="1">
      <c r="A698" s="6">
        <v>45258.0</v>
      </c>
      <c r="B698" s="7">
        <f t="shared" si="1"/>
        <v>28</v>
      </c>
      <c r="C698" s="7">
        <f t="shared" si="2"/>
        <v>11</v>
      </c>
      <c r="D698" s="7">
        <v>14528.06</v>
      </c>
      <c r="E698" s="7">
        <v>17046.0</v>
      </c>
      <c r="F698" s="7">
        <v>18565.0</v>
      </c>
      <c r="G698" s="7">
        <v>35611.0</v>
      </c>
      <c r="H698" s="7">
        <v>585.19</v>
      </c>
      <c r="I698" s="7">
        <v>5561.0</v>
      </c>
      <c r="J698" s="7">
        <v>0.105</v>
      </c>
      <c r="K698" s="7">
        <v>4696.0</v>
      </c>
      <c r="L698" s="7">
        <v>4749.84</v>
      </c>
      <c r="M698" s="7">
        <v>5479.0</v>
      </c>
      <c r="N698" s="7">
        <v>0.867</v>
      </c>
      <c r="O698" s="8">
        <v>4752.0</v>
      </c>
      <c r="P698" s="7">
        <v>8323.96</v>
      </c>
      <c r="Q698" s="7">
        <v>3219352.0</v>
      </c>
      <c r="R698" s="7">
        <v>2.59</v>
      </c>
      <c r="S698" s="7">
        <v>8505.0</v>
      </c>
      <c r="T698" s="7">
        <v>774.99</v>
      </c>
      <c r="U698" s="7">
        <v>2316.0</v>
      </c>
      <c r="V698" s="7">
        <v>0.33</v>
      </c>
      <c r="W698" s="7">
        <v>1060.0</v>
      </c>
      <c r="X698" s="7">
        <v>94.08</v>
      </c>
      <c r="Y698" s="7">
        <v>76283.0</v>
      </c>
      <c r="Z698" s="7">
        <v>1.23</v>
      </c>
      <c r="AA698" s="7">
        <v>8.0</v>
      </c>
      <c r="AB698" s="7"/>
      <c r="AC698" s="7"/>
      <c r="AD698" s="7"/>
    </row>
    <row r="699" ht="15.75" customHeight="1">
      <c r="A699" s="6">
        <v>45259.0</v>
      </c>
      <c r="B699" s="7">
        <f t="shared" si="1"/>
        <v>29</v>
      </c>
      <c r="C699" s="7">
        <f t="shared" si="2"/>
        <v>11</v>
      </c>
      <c r="D699" s="7">
        <v>14168.29</v>
      </c>
      <c r="E699" s="7">
        <v>14878.0</v>
      </c>
      <c r="F699" s="7">
        <v>18654.0</v>
      </c>
      <c r="G699" s="7">
        <v>33532.0</v>
      </c>
      <c r="H699" s="7">
        <v>538.63</v>
      </c>
      <c r="I699" s="7">
        <v>5076.0</v>
      </c>
      <c r="J699" s="7">
        <v>0.106</v>
      </c>
      <c r="K699" s="7">
        <v>4181.0</v>
      </c>
      <c r="L699" s="7">
        <v>4701.42</v>
      </c>
      <c r="M699" s="7">
        <v>5286.0</v>
      </c>
      <c r="N699" s="7">
        <v>0.889</v>
      </c>
      <c r="O699" s="8">
        <v>4577.0</v>
      </c>
      <c r="P699" s="7">
        <v>8053.44</v>
      </c>
      <c r="Q699" s="7">
        <v>3142201.0</v>
      </c>
      <c r="R699" s="7">
        <v>2.56</v>
      </c>
      <c r="S699" s="7">
        <v>8918.0</v>
      </c>
      <c r="T699" s="7">
        <v>755.04</v>
      </c>
      <c r="U699" s="7">
        <v>1841.0</v>
      </c>
      <c r="V699" s="7">
        <v>0.41</v>
      </c>
      <c r="W699" s="7">
        <v>1002.0</v>
      </c>
      <c r="X699" s="7">
        <v>119.76</v>
      </c>
      <c r="Y699" s="7">
        <v>69940.0</v>
      </c>
      <c r="Z699" s="7">
        <v>1.71</v>
      </c>
      <c r="AA699" s="7">
        <v>1.0</v>
      </c>
      <c r="AB699" s="7"/>
      <c r="AC699" s="7"/>
      <c r="AD699" s="7"/>
    </row>
    <row r="700" ht="15.75" customHeight="1">
      <c r="A700" s="6">
        <v>45260.0</v>
      </c>
      <c r="B700" s="7">
        <f t="shared" si="1"/>
        <v>30</v>
      </c>
      <c r="C700" s="7">
        <f t="shared" si="2"/>
        <v>11</v>
      </c>
      <c r="D700" s="7">
        <v>13811.1</v>
      </c>
      <c r="E700" s="7">
        <v>15098.0</v>
      </c>
      <c r="F700" s="7">
        <v>17541.0</v>
      </c>
      <c r="G700" s="7">
        <v>32639.0</v>
      </c>
      <c r="H700" s="7">
        <v>542.72</v>
      </c>
      <c r="I700" s="7">
        <v>4663.0</v>
      </c>
      <c r="J700" s="7">
        <v>0.116</v>
      </c>
      <c r="K700" s="7">
        <v>3805.0</v>
      </c>
      <c r="L700" s="7">
        <v>4499.87</v>
      </c>
      <c r="M700" s="7">
        <v>4951.0</v>
      </c>
      <c r="N700" s="7">
        <v>0.909</v>
      </c>
      <c r="O700" s="8">
        <v>4134.0</v>
      </c>
      <c r="P700" s="7">
        <v>8065.41</v>
      </c>
      <c r="Q700" s="7">
        <v>3181335.0</v>
      </c>
      <c r="R700" s="7">
        <v>2.54</v>
      </c>
      <c r="S700" s="7">
        <v>8997.0</v>
      </c>
      <c r="T700" s="7">
        <v>587.67</v>
      </c>
      <c r="U700" s="7">
        <v>1207.0</v>
      </c>
      <c r="V700" s="7">
        <v>0.49</v>
      </c>
      <c r="W700" s="7">
        <v>824.0</v>
      </c>
      <c r="X700" s="7">
        <v>115.43</v>
      </c>
      <c r="Y700" s="7">
        <v>63416.0</v>
      </c>
      <c r="Z700" s="7">
        <v>1.82</v>
      </c>
      <c r="AA700" s="7">
        <v>67.0</v>
      </c>
      <c r="AB700" s="7"/>
      <c r="AC700" s="7"/>
      <c r="AD700" s="7"/>
    </row>
    <row r="701" ht="15.75" customHeight="1">
      <c r="A701" s="6">
        <v>45261.0</v>
      </c>
      <c r="B701" s="7">
        <f t="shared" si="1"/>
        <v>1</v>
      </c>
      <c r="C701" s="7">
        <f t="shared" si="2"/>
        <v>12</v>
      </c>
      <c r="D701" s="7">
        <v>12435.74</v>
      </c>
      <c r="E701" s="7">
        <v>15543.0</v>
      </c>
      <c r="F701" s="7">
        <v>15127.0</v>
      </c>
      <c r="G701" s="7">
        <v>30670.0</v>
      </c>
      <c r="H701" s="7">
        <v>408.14</v>
      </c>
      <c r="I701" s="7">
        <v>4244.0</v>
      </c>
      <c r="J701" s="7">
        <v>0.096</v>
      </c>
      <c r="K701" s="7">
        <v>2399.0</v>
      </c>
      <c r="L701" s="7">
        <v>3645.52</v>
      </c>
      <c r="M701" s="7">
        <v>4289.0</v>
      </c>
      <c r="N701" s="7">
        <v>0.85</v>
      </c>
      <c r="O701" s="8">
        <v>2611.0</v>
      </c>
      <c r="P701" s="7">
        <v>7549.54</v>
      </c>
      <c r="Q701" s="7">
        <v>3166519.0</v>
      </c>
      <c r="R701" s="7">
        <v>2.38</v>
      </c>
      <c r="S701" s="7">
        <v>9144.0</v>
      </c>
      <c r="T701" s="7">
        <v>731.94</v>
      </c>
      <c r="U701" s="7">
        <v>2231.0</v>
      </c>
      <c r="V701" s="7">
        <v>0.33</v>
      </c>
      <c r="W701" s="7">
        <v>1030.0</v>
      </c>
      <c r="X701" s="7">
        <v>100.6</v>
      </c>
      <c r="Y701" s="7">
        <v>60004.0</v>
      </c>
      <c r="Z701" s="7">
        <v>1.68</v>
      </c>
      <c r="AA701" s="7">
        <v>147.0</v>
      </c>
      <c r="AB701" s="7"/>
      <c r="AC701" s="7"/>
      <c r="AD701" s="7"/>
    </row>
    <row r="702" ht="15.75" customHeight="1">
      <c r="A702" s="6">
        <v>45262.0</v>
      </c>
      <c r="B702" s="7">
        <f t="shared" si="1"/>
        <v>2</v>
      </c>
      <c r="C702" s="7">
        <f t="shared" si="2"/>
        <v>12</v>
      </c>
      <c r="D702" s="7">
        <v>12972.52</v>
      </c>
      <c r="E702" s="7">
        <v>13537.0</v>
      </c>
      <c r="F702" s="7">
        <v>18424.0</v>
      </c>
      <c r="G702" s="7">
        <v>31961.0</v>
      </c>
      <c r="H702" s="7">
        <v>369.73</v>
      </c>
      <c r="I702" s="7">
        <v>4756.0</v>
      </c>
      <c r="J702" s="7">
        <v>0.078</v>
      </c>
      <c r="K702" s="7">
        <v>3681.0</v>
      </c>
      <c r="L702" s="7">
        <v>4573.64</v>
      </c>
      <c r="M702" s="7">
        <v>5446.0</v>
      </c>
      <c r="N702" s="7">
        <v>0.84</v>
      </c>
      <c r="O702" s="8">
        <v>4362.0</v>
      </c>
      <c r="P702" s="7">
        <v>7176.94</v>
      </c>
      <c r="Q702" s="7">
        <v>3042497.0</v>
      </c>
      <c r="R702" s="7">
        <v>2.36</v>
      </c>
      <c r="S702" s="7">
        <v>9418.0</v>
      </c>
      <c r="T702" s="7">
        <v>747.12</v>
      </c>
      <c r="U702" s="7">
        <v>2509.0</v>
      </c>
      <c r="V702" s="7">
        <v>0.3</v>
      </c>
      <c r="W702" s="7">
        <v>1046.0</v>
      </c>
      <c r="X702" s="7">
        <v>105.09</v>
      </c>
      <c r="Y702" s="7">
        <v>62996.0</v>
      </c>
      <c r="Z702" s="7">
        <v>1.67</v>
      </c>
      <c r="AA702" s="7">
        <v>127.0</v>
      </c>
      <c r="AB702" s="7"/>
      <c r="AC702" s="7"/>
      <c r="AD702" s="7"/>
    </row>
    <row r="703" ht="15.75" customHeight="1">
      <c r="A703" s="6">
        <v>45263.0</v>
      </c>
      <c r="B703" s="7">
        <f t="shared" si="1"/>
        <v>3</v>
      </c>
      <c r="C703" s="7">
        <f t="shared" si="2"/>
        <v>12</v>
      </c>
      <c r="D703" s="7">
        <v>15495.86</v>
      </c>
      <c r="E703" s="7">
        <v>14420.0</v>
      </c>
      <c r="F703" s="7">
        <v>22188.0</v>
      </c>
      <c r="G703" s="7">
        <v>36608.0</v>
      </c>
      <c r="H703" s="7">
        <v>436.85</v>
      </c>
      <c r="I703" s="7">
        <v>5386.0</v>
      </c>
      <c r="J703" s="7">
        <v>0.081</v>
      </c>
      <c r="K703" s="7">
        <v>4067.0</v>
      </c>
      <c r="L703" s="7">
        <v>6289.28</v>
      </c>
      <c r="M703" s="7">
        <v>7490.0</v>
      </c>
      <c r="N703" s="7">
        <v>0.84</v>
      </c>
      <c r="O703" s="8">
        <v>6152.0</v>
      </c>
      <c r="P703" s="7">
        <v>7877.78</v>
      </c>
      <c r="Q703" s="7">
        <v>3567657.0</v>
      </c>
      <c r="R703" s="7">
        <v>2.21</v>
      </c>
      <c r="S703" s="7">
        <v>10852.0</v>
      </c>
      <c r="T703" s="7">
        <v>776.38</v>
      </c>
      <c r="U703" s="7">
        <v>2360.0</v>
      </c>
      <c r="V703" s="7">
        <v>0.33</v>
      </c>
      <c r="W703" s="7">
        <v>1208.0</v>
      </c>
      <c r="X703" s="7">
        <v>115.57</v>
      </c>
      <c r="Y703" s="7">
        <v>75683.0</v>
      </c>
      <c r="Z703" s="7">
        <v>1.53</v>
      </c>
      <c r="AA703" s="7">
        <v>147.0</v>
      </c>
      <c r="AB703" s="7"/>
      <c r="AC703" s="7"/>
      <c r="AD703" s="7"/>
    </row>
    <row r="704" ht="15.75" customHeight="1">
      <c r="A704" s="6">
        <v>45264.0</v>
      </c>
      <c r="B704" s="7">
        <f t="shared" si="1"/>
        <v>4</v>
      </c>
      <c r="C704" s="7">
        <f t="shared" si="2"/>
        <v>12</v>
      </c>
      <c r="D704" s="7">
        <v>14568.44</v>
      </c>
      <c r="E704" s="7">
        <v>15451.0</v>
      </c>
      <c r="F704" s="7">
        <v>19930.0</v>
      </c>
      <c r="G704" s="7">
        <v>35381.0</v>
      </c>
      <c r="H704" s="7">
        <v>514.88</v>
      </c>
      <c r="I704" s="7">
        <v>5026.0</v>
      </c>
      <c r="J704" s="7">
        <v>0.102</v>
      </c>
      <c r="K704" s="7">
        <v>4076.0</v>
      </c>
      <c r="L704" s="7">
        <v>5591.24</v>
      </c>
      <c r="M704" s="7">
        <v>6095.0</v>
      </c>
      <c r="N704" s="7">
        <v>0.917</v>
      </c>
      <c r="O704" s="8">
        <v>5248.0</v>
      </c>
      <c r="P704" s="7">
        <v>7529.34</v>
      </c>
      <c r="Q704" s="7">
        <v>3429078.0</v>
      </c>
      <c r="R704" s="7">
        <v>2.2</v>
      </c>
      <c r="S704" s="7">
        <v>9471.0</v>
      </c>
      <c r="T704" s="7">
        <v>830.71</v>
      </c>
      <c r="U704" s="7">
        <v>2314.0</v>
      </c>
      <c r="V704" s="7">
        <v>0.36</v>
      </c>
      <c r="W704" s="7">
        <v>1104.0</v>
      </c>
      <c r="X704" s="7">
        <v>102.27</v>
      </c>
      <c r="Y704" s="7">
        <v>70412.0</v>
      </c>
      <c r="Z704" s="7">
        <v>1.45</v>
      </c>
      <c r="AA704" s="7">
        <v>108.0</v>
      </c>
      <c r="AB704" s="7"/>
      <c r="AC704" s="7"/>
      <c r="AD704" s="7"/>
    </row>
    <row r="705" ht="15.75" customHeight="1">
      <c r="A705" s="6">
        <v>45265.0</v>
      </c>
      <c r="B705" s="7">
        <f t="shared" si="1"/>
        <v>5</v>
      </c>
      <c r="C705" s="7">
        <f t="shared" si="2"/>
        <v>12</v>
      </c>
      <c r="D705" s="7">
        <v>13364.17</v>
      </c>
      <c r="E705" s="7">
        <v>15242.0</v>
      </c>
      <c r="F705" s="7">
        <v>18122.0</v>
      </c>
      <c r="G705" s="7">
        <v>33364.0</v>
      </c>
      <c r="H705" s="7">
        <v>556.7</v>
      </c>
      <c r="I705" s="7">
        <v>5002.0</v>
      </c>
      <c r="J705" s="7">
        <v>0.111</v>
      </c>
      <c r="K705" s="7">
        <v>3926.0</v>
      </c>
      <c r="L705" s="7">
        <v>4550.8</v>
      </c>
      <c r="M705" s="7">
        <v>5406.0</v>
      </c>
      <c r="N705" s="7">
        <v>0.842</v>
      </c>
      <c r="O705" s="8">
        <v>4478.0</v>
      </c>
      <c r="P705" s="7">
        <v>7380.2</v>
      </c>
      <c r="Q705" s="7">
        <v>3011827.0</v>
      </c>
      <c r="R705" s="7">
        <v>2.45</v>
      </c>
      <c r="S705" s="7">
        <v>8835.0</v>
      </c>
      <c r="T705" s="7">
        <v>778.98</v>
      </c>
      <c r="U705" s="7">
        <v>2031.0</v>
      </c>
      <c r="V705" s="7">
        <v>0.38</v>
      </c>
      <c r="W705" s="7">
        <v>1159.0</v>
      </c>
      <c r="X705" s="7">
        <v>97.49</v>
      </c>
      <c r="Y705" s="7">
        <v>71025.0</v>
      </c>
      <c r="Z705" s="7">
        <v>1.37</v>
      </c>
      <c r="AA705" s="7">
        <v>99.0</v>
      </c>
      <c r="AB705" s="7"/>
      <c r="AC705" s="7"/>
      <c r="AD705" s="7"/>
    </row>
    <row r="706" ht="15.75" customHeight="1">
      <c r="A706" s="6">
        <v>45266.0</v>
      </c>
      <c r="B706" s="7">
        <f t="shared" si="1"/>
        <v>6</v>
      </c>
      <c r="C706" s="7">
        <f t="shared" si="2"/>
        <v>12</v>
      </c>
      <c r="D706" s="7">
        <v>12140.97</v>
      </c>
      <c r="E706" s="7">
        <v>14459.0</v>
      </c>
      <c r="F706" s="7">
        <v>17257.0</v>
      </c>
      <c r="G706" s="7">
        <v>31716.0</v>
      </c>
      <c r="H706" s="7">
        <v>433.58</v>
      </c>
      <c r="I706" s="7">
        <v>4591.0</v>
      </c>
      <c r="J706" s="7">
        <v>0.094</v>
      </c>
      <c r="K706" s="7">
        <v>3813.0</v>
      </c>
      <c r="L706" s="7">
        <v>3697.49</v>
      </c>
      <c r="M706" s="7">
        <v>4538.0</v>
      </c>
      <c r="N706" s="7">
        <v>0.815</v>
      </c>
      <c r="O706" s="8">
        <v>3688.0</v>
      </c>
      <c r="P706" s="7">
        <v>7211.1</v>
      </c>
      <c r="Q706" s="7">
        <v>2673653.0</v>
      </c>
      <c r="R706" s="7">
        <v>2.7</v>
      </c>
      <c r="S706" s="7">
        <v>8214.0</v>
      </c>
      <c r="T706" s="7">
        <v>710.0</v>
      </c>
      <c r="U706" s="7">
        <v>1949.0</v>
      </c>
      <c r="V706" s="7">
        <v>0.36</v>
      </c>
      <c r="W706" s="7">
        <v>1163.0</v>
      </c>
      <c r="X706" s="7">
        <v>88.8</v>
      </c>
      <c r="Y706" s="7">
        <v>67445.0</v>
      </c>
      <c r="Z706" s="7">
        <v>1.32</v>
      </c>
      <c r="AA706" s="7">
        <v>104.0</v>
      </c>
      <c r="AB706" s="7"/>
      <c r="AC706" s="7"/>
      <c r="AD706" s="7"/>
    </row>
    <row r="707" ht="15.75" customHeight="1">
      <c r="A707" s="6">
        <v>45267.0</v>
      </c>
      <c r="B707" s="7">
        <f t="shared" si="1"/>
        <v>7</v>
      </c>
      <c r="C707" s="7">
        <f t="shared" si="2"/>
        <v>12</v>
      </c>
      <c r="D707" s="7">
        <v>11495.55</v>
      </c>
      <c r="E707" s="7">
        <v>13269.0</v>
      </c>
      <c r="F707" s="7">
        <v>15165.0</v>
      </c>
      <c r="G707" s="7">
        <v>28434.0</v>
      </c>
      <c r="H707" s="7">
        <v>347.96</v>
      </c>
      <c r="I707" s="7">
        <v>4315.0</v>
      </c>
      <c r="J707" s="7">
        <v>0.081</v>
      </c>
      <c r="K707" s="7">
        <v>3416.0</v>
      </c>
      <c r="L707" s="7">
        <v>3104.2</v>
      </c>
      <c r="M707" s="7">
        <v>4002.0</v>
      </c>
      <c r="N707" s="7">
        <v>0.776</v>
      </c>
      <c r="O707" s="8">
        <v>3362.0</v>
      </c>
      <c r="P707" s="7">
        <v>7258.65</v>
      </c>
      <c r="Q707" s="7">
        <v>2548899.0</v>
      </c>
      <c r="R707" s="7">
        <v>2.85</v>
      </c>
      <c r="S707" s="7">
        <v>7579.0</v>
      </c>
      <c r="T707" s="7">
        <v>703.3</v>
      </c>
      <c r="U707" s="7">
        <v>1867.0</v>
      </c>
      <c r="V707" s="7">
        <v>0.38</v>
      </c>
      <c r="W707" s="7">
        <v>927.0</v>
      </c>
      <c r="X707" s="7">
        <v>81.44</v>
      </c>
      <c r="Y707" s="7">
        <v>74542.0</v>
      </c>
      <c r="Z707" s="7">
        <v>1.09</v>
      </c>
      <c r="AA707" s="7">
        <v>73.0</v>
      </c>
      <c r="AB707" s="7"/>
      <c r="AC707" s="7"/>
      <c r="AD707" s="7"/>
    </row>
    <row r="708" ht="15.75" customHeight="1">
      <c r="A708" s="6">
        <v>45268.0</v>
      </c>
      <c r="B708" s="7">
        <f t="shared" si="1"/>
        <v>8</v>
      </c>
      <c r="C708" s="7">
        <f t="shared" si="2"/>
        <v>12</v>
      </c>
      <c r="D708" s="7">
        <v>12174.24</v>
      </c>
      <c r="E708" s="7">
        <v>13460.0</v>
      </c>
      <c r="F708" s="7">
        <v>17847.0</v>
      </c>
      <c r="G708" s="7">
        <v>31307.0</v>
      </c>
      <c r="H708" s="7">
        <v>319.81</v>
      </c>
      <c r="I708" s="7">
        <v>4806.0</v>
      </c>
      <c r="J708" s="7">
        <v>0.067</v>
      </c>
      <c r="K708" s="7">
        <v>3651.0</v>
      </c>
      <c r="L708" s="7">
        <v>3718.14</v>
      </c>
      <c r="M708" s="7">
        <v>5140.0</v>
      </c>
      <c r="N708" s="7">
        <v>0.723</v>
      </c>
      <c r="O708" s="8">
        <v>4195.0</v>
      </c>
      <c r="P708" s="7">
        <v>7239.85</v>
      </c>
      <c r="Q708" s="7">
        <v>2692799.0</v>
      </c>
      <c r="R708" s="7">
        <v>2.69</v>
      </c>
      <c r="S708" s="7">
        <v>8775.0</v>
      </c>
      <c r="T708" s="7">
        <v>776.38</v>
      </c>
      <c r="U708" s="7">
        <v>2049.0</v>
      </c>
      <c r="V708" s="7">
        <v>0.38</v>
      </c>
      <c r="W708" s="7">
        <v>1135.0</v>
      </c>
      <c r="X708" s="7">
        <v>120.06</v>
      </c>
      <c r="Y708" s="7">
        <v>73424.0</v>
      </c>
      <c r="Z708" s="7">
        <v>1.64</v>
      </c>
      <c r="AA708" s="7">
        <v>101.0</v>
      </c>
      <c r="AB708" s="7"/>
      <c r="AC708" s="7"/>
      <c r="AD708" s="7"/>
    </row>
    <row r="709" ht="15.75" customHeight="1">
      <c r="A709" s="6">
        <v>45269.0</v>
      </c>
      <c r="B709" s="7">
        <f t="shared" si="1"/>
        <v>9</v>
      </c>
      <c r="C709" s="7">
        <f t="shared" si="2"/>
        <v>12</v>
      </c>
      <c r="D709" s="7">
        <v>12354.63</v>
      </c>
      <c r="E709" s="7">
        <v>13305.0</v>
      </c>
      <c r="F709" s="7">
        <v>17667.0</v>
      </c>
      <c r="G709" s="7">
        <v>30972.0</v>
      </c>
      <c r="H709" s="7">
        <v>313.8</v>
      </c>
      <c r="I709" s="7">
        <v>4715.0</v>
      </c>
      <c r="J709" s="7">
        <v>0.067</v>
      </c>
      <c r="K709" s="7">
        <v>3557.0</v>
      </c>
      <c r="L709" s="7">
        <v>3870.23</v>
      </c>
      <c r="M709" s="7">
        <v>5081.0</v>
      </c>
      <c r="N709" s="7">
        <v>0.762</v>
      </c>
      <c r="O709" s="8">
        <v>4256.0</v>
      </c>
      <c r="P709" s="7">
        <v>7366.32</v>
      </c>
      <c r="Q709" s="7">
        <v>2869110.0</v>
      </c>
      <c r="R709" s="7">
        <v>2.57</v>
      </c>
      <c r="S709" s="7">
        <v>8590.0</v>
      </c>
      <c r="T709" s="7">
        <v>709.91</v>
      </c>
      <c r="U709" s="7">
        <v>1934.0</v>
      </c>
      <c r="V709" s="7">
        <v>0.37</v>
      </c>
      <c r="W709" s="7">
        <v>954.0</v>
      </c>
      <c r="X709" s="7">
        <v>94.37</v>
      </c>
      <c r="Y709" s="7">
        <v>56636.0</v>
      </c>
      <c r="Z709" s="7">
        <v>1.67</v>
      </c>
      <c r="AA709" s="7">
        <v>81.0</v>
      </c>
      <c r="AB709" s="7"/>
      <c r="AC709" s="7"/>
      <c r="AD709" s="7"/>
    </row>
    <row r="710" ht="15.75" customHeight="1">
      <c r="A710" s="6">
        <v>45270.0</v>
      </c>
      <c r="B710" s="7">
        <f t="shared" si="1"/>
        <v>10</v>
      </c>
      <c r="C710" s="7">
        <f t="shared" si="2"/>
        <v>12</v>
      </c>
      <c r="D710" s="7">
        <v>13768.65</v>
      </c>
      <c r="E710" s="7">
        <v>15239.0</v>
      </c>
      <c r="F710" s="7">
        <v>20721.0</v>
      </c>
      <c r="G710" s="7">
        <v>35960.0</v>
      </c>
      <c r="H710" s="7">
        <v>373.16</v>
      </c>
      <c r="I710" s="7">
        <v>5648.0</v>
      </c>
      <c r="J710" s="7">
        <v>0.066</v>
      </c>
      <c r="K710" s="7">
        <v>4266.0</v>
      </c>
      <c r="L710" s="7">
        <v>4515.06</v>
      </c>
      <c r="M710" s="7">
        <v>6193.0</v>
      </c>
      <c r="N710" s="7">
        <v>0.729</v>
      </c>
      <c r="O710" s="8">
        <v>4964.0</v>
      </c>
      <c r="P710" s="7">
        <v>7973.9</v>
      </c>
      <c r="Q710" s="7">
        <v>3254943.0</v>
      </c>
      <c r="R710" s="7">
        <v>2.45</v>
      </c>
      <c r="S710" s="7">
        <v>10095.0</v>
      </c>
      <c r="T710" s="7">
        <v>811.5</v>
      </c>
      <c r="U710" s="7">
        <v>2457.0</v>
      </c>
      <c r="V710" s="7">
        <v>0.33</v>
      </c>
      <c r="W710" s="7">
        <v>1167.0</v>
      </c>
      <c r="X710" s="7">
        <v>95.03</v>
      </c>
      <c r="Y710" s="7">
        <v>61359.0</v>
      </c>
      <c r="Z710" s="7">
        <v>1.55</v>
      </c>
      <c r="AA710" s="7">
        <v>91.0</v>
      </c>
      <c r="AB710" s="7"/>
      <c r="AC710" s="7"/>
      <c r="AD710" s="7"/>
    </row>
    <row r="711" ht="15.75" customHeight="1">
      <c r="A711" s="6">
        <v>45271.0</v>
      </c>
      <c r="B711" s="7">
        <f t="shared" si="1"/>
        <v>11</v>
      </c>
      <c r="C711" s="7">
        <f t="shared" si="2"/>
        <v>12</v>
      </c>
      <c r="D711" s="7">
        <v>13002.69</v>
      </c>
      <c r="E711" s="7">
        <v>16040.0</v>
      </c>
      <c r="F711" s="7">
        <v>18683.0</v>
      </c>
      <c r="G711" s="7">
        <v>34723.0</v>
      </c>
      <c r="H711" s="7">
        <v>417.33</v>
      </c>
      <c r="I711" s="7">
        <v>5254.0</v>
      </c>
      <c r="J711" s="7">
        <v>0.079</v>
      </c>
      <c r="K711" s="7">
        <v>4225.0</v>
      </c>
      <c r="L711" s="7">
        <v>3823.92</v>
      </c>
      <c r="M711" s="7">
        <v>4934.0</v>
      </c>
      <c r="N711" s="7">
        <v>0.775</v>
      </c>
      <c r="O711" s="8">
        <v>4182.0</v>
      </c>
      <c r="P711" s="7">
        <v>7825.91</v>
      </c>
      <c r="Q711" s="7">
        <v>3105131.0</v>
      </c>
      <c r="R711" s="7">
        <v>2.52</v>
      </c>
      <c r="S711" s="7">
        <v>9096.0</v>
      </c>
      <c r="T711" s="7">
        <v>819.42</v>
      </c>
      <c r="U711" s="7">
        <v>2294.0</v>
      </c>
      <c r="V711" s="7">
        <v>0.36</v>
      </c>
      <c r="W711" s="7">
        <v>1063.0</v>
      </c>
      <c r="X711" s="7">
        <v>116.11</v>
      </c>
      <c r="Y711" s="7">
        <v>70307.0</v>
      </c>
      <c r="Z711" s="7">
        <v>1.65</v>
      </c>
      <c r="AA711" s="7">
        <v>57.0</v>
      </c>
      <c r="AB711" s="7"/>
      <c r="AC711" s="7"/>
      <c r="AD711" s="7"/>
    </row>
    <row r="712" ht="15.75" customHeight="1">
      <c r="A712" s="6">
        <v>45272.0</v>
      </c>
      <c r="B712" s="7">
        <f t="shared" si="1"/>
        <v>12</v>
      </c>
      <c r="C712" s="7">
        <f t="shared" si="2"/>
        <v>12</v>
      </c>
      <c r="D712" s="7">
        <v>12719.99</v>
      </c>
      <c r="E712" s="7">
        <v>15373.0</v>
      </c>
      <c r="F712" s="7">
        <v>17125.0</v>
      </c>
      <c r="G712" s="7">
        <v>32498.0</v>
      </c>
      <c r="H712" s="7">
        <v>442.18</v>
      </c>
      <c r="I712" s="7">
        <v>4978.0</v>
      </c>
      <c r="J712" s="7">
        <v>0.089</v>
      </c>
      <c r="K712" s="7">
        <v>3952.0</v>
      </c>
      <c r="L712" s="7">
        <v>3736.55</v>
      </c>
      <c r="M712" s="7">
        <v>4866.0</v>
      </c>
      <c r="N712" s="7">
        <v>0.768</v>
      </c>
      <c r="O712" s="8">
        <v>4211.0</v>
      </c>
      <c r="P712" s="7">
        <v>7724.49</v>
      </c>
      <c r="Q712" s="7">
        <v>2843789.0</v>
      </c>
      <c r="R712" s="7">
        <v>2.72</v>
      </c>
      <c r="S712" s="7">
        <v>8315.0</v>
      </c>
      <c r="T712" s="7">
        <v>721.23</v>
      </c>
      <c r="U712" s="7">
        <v>2028.0</v>
      </c>
      <c r="V712" s="7">
        <v>0.36</v>
      </c>
      <c r="W712" s="7">
        <v>1035.0</v>
      </c>
      <c r="X712" s="7">
        <v>95.54</v>
      </c>
      <c r="Y712" s="7">
        <v>55123.0</v>
      </c>
      <c r="Z712" s="7">
        <v>1.73</v>
      </c>
      <c r="AA712" s="7">
        <v>67.0</v>
      </c>
      <c r="AB712" s="7"/>
      <c r="AC712" s="7"/>
      <c r="AD712" s="7"/>
    </row>
    <row r="713" ht="15.75" customHeight="1">
      <c r="A713" s="6">
        <v>45273.0</v>
      </c>
      <c r="B713" s="7">
        <f t="shared" si="1"/>
        <v>13</v>
      </c>
      <c r="C713" s="7">
        <f t="shared" si="2"/>
        <v>12</v>
      </c>
      <c r="D713" s="7">
        <v>11821.68</v>
      </c>
      <c r="E713" s="7">
        <v>15436.0</v>
      </c>
      <c r="F713" s="7">
        <v>16230.0</v>
      </c>
      <c r="G713" s="7">
        <v>31666.0</v>
      </c>
      <c r="H713" s="7">
        <v>420.2</v>
      </c>
      <c r="I713" s="7">
        <v>4903.0</v>
      </c>
      <c r="J713" s="7">
        <v>0.086</v>
      </c>
      <c r="K713" s="7">
        <v>3805.0</v>
      </c>
      <c r="L713" s="7">
        <v>3191.66</v>
      </c>
      <c r="M713" s="7">
        <v>4191.0</v>
      </c>
      <c r="N713" s="7">
        <v>0.762</v>
      </c>
      <c r="O713" s="8">
        <v>3686.0</v>
      </c>
      <c r="P713" s="7">
        <v>7403.42</v>
      </c>
      <c r="Q713" s="7">
        <v>2706008.0</v>
      </c>
      <c r="R713" s="7">
        <v>2.74</v>
      </c>
      <c r="S713" s="7">
        <v>7837.0</v>
      </c>
      <c r="T713" s="7">
        <v>711.2</v>
      </c>
      <c r="U713" s="7">
        <v>3020.0</v>
      </c>
      <c r="V713" s="7">
        <v>0.24</v>
      </c>
      <c r="W713" s="7">
        <v>983.0</v>
      </c>
      <c r="X713" s="7">
        <v>95.2</v>
      </c>
      <c r="Y713" s="7">
        <v>53668.0</v>
      </c>
      <c r="Z713" s="7">
        <v>1.77</v>
      </c>
      <c r="AA713" s="7">
        <v>45.0</v>
      </c>
      <c r="AB713" s="7"/>
      <c r="AC713" s="7"/>
      <c r="AD713" s="7"/>
    </row>
    <row r="714" ht="15.75" customHeight="1">
      <c r="A714" s="6">
        <v>45274.0</v>
      </c>
      <c r="B714" s="7">
        <f t="shared" si="1"/>
        <v>14</v>
      </c>
      <c r="C714" s="7">
        <f t="shared" si="2"/>
        <v>12</v>
      </c>
      <c r="D714" s="7">
        <v>11647.31</v>
      </c>
      <c r="E714" s="7">
        <v>14597.0</v>
      </c>
      <c r="F714" s="7">
        <v>14380.0</v>
      </c>
      <c r="G714" s="7">
        <v>28977.0</v>
      </c>
      <c r="H714" s="7">
        <v>379.57</v>
      </c>
      <c r="I714" s="7">
        <v>4350.0</v>
      </c>
      <c r="J714" s="7">
        <v>0.087</v>
      </c>
      <c r="K714" s="7">
        <v>3421.0</v>
      </c>
      <c r="L714" s="7">
        <v>3108.3</v>
      </c>
      <c r="M714" s="7">
        <v>3978.0</v>
      </c>
      <c r="N714" s="7">
        <v>0.781</v>
      </c>
      <c r="O714" s="8">
        <v>3272.0</v>
      </c>
      <c r="P714" s="7">
        <v>7364.62</v>
      </c>
      <c r="Q714" s="7">
        <v>2574942.0</v>
      </c>
      <c r="R714" s="7">
        <v>2.86</v>
      </c>
      <c r="S714" s="7">
        <v>7039.0</v>
      </c>
      <c r="T714" s="7">
        <v>694.34</v>
      </c>
      <c r="U714" s="7">
        <v>3070.0</v>
      </c>
      <c r="V714" s="7">
        <v>0.23</v>
      </c>
      <c r="W714" s="7">
        <v>981.0</v>
      </c>
      <c r="X714" s="7">
        <v>100.48</v>
      </c>
      <c r="Y714" s="7">
        <v>53393.0</v>
      </c>
      <c r="Z714" s="7">
        <v>1.88</v>
      </c>
      <c r="AA714" s="7">
        <v>46.0</v>
      </c>
      <c r="AB714" s="7"/>
      <c r="AC714" s="7"/>
      <c r="AD714" s="7"/>
    </row>
    <row r="715" ht="15.75" customHeight="1">
      <c r="A715" s="6">
        <v>45275.0</v>
      </c>
      <c r="B715" s="7">
        <f t="shared" si="1"/>
        <v>15</v>
      </c>
      <c r="C715" s="7">
        <f t="shared" si="2"/>
        <v>12</v>
      </c>
      <c r="D715" s="7">
        <v>12569.4</v>
      </c>
      <c r="E715" s="7">
        <v>12883.0</v>
      </c>
      <c r="F715" s="7">
        <v>15130.0</v>
      </c>
      <c r="G715" s="7">
        <v>28013.0</v>
      </c>
      <c r="H715" s="7">
        <v>387.7</v>
      </c>
      <c r="I715" s="7">
        <v>4120.0</v>
      </c>
      <c r="J715" s="7">
        <v>0.094</v>
      </c>
      <c r="K715" s="7">
        <v>3328.0</v>
      </c>
      <c r="L715" s="7">
        <v>3339.83</v>
      </c>
      <c r="M715" s="7">
        <v>4250.0</v>
      </c>
      <c r="N715" s="7">
        <v>0.786</v>
      </c>
      <c r="O715" s="8">
        <v>3660.0</v>
      </c>
      <c r="P715" s="7">
        <v>7877.94</v>
      </c>
      <c r="Q715" s="7">
        <v>2643225.0</v>
      </c>
      <c r="R715" s="7">
        <v>2.98</v>
      </c>
      <c r="S715" s="7">
        <v>7297.0</v>
      </c>
      <c r="T715" s="7">
        <v>860.88</v>
      </c>
      <c r="U715" s="7">
        <v>3793.0</v>
      </c>
      <c r="V715" s="7">
        <v>0.23</v>
      </c>
      <c r="W715" s="7">
        <v>1081.0</v>
      </c>
      <c r="X715" s="7">
        <v>103.05</v>
      </c>
      <c r="Y715" s="7">
        <v>47778.0</v>
      </c>
      <c r="Z715" s="7">
        <v>2.16</v>
      </c>
      <c r="AA715" s="7">
        <v>56.0</v>
      </c>
      <c r="AB715" s="7"/>
      <c r="AC715" s="7"/>
      <c r="AD715" s="7"/>
    </row>
    <row r="716" ht="15.75" customHeight="1">
      <c r="A716" s="6">
        <v>45276.0</v>
      </c>
      <c r="B716" s="7">
        <f t="shared" si="1"/>
        <v>16</v>
      </c>
      <c r="C716" s="7">
        <f t="shared" si="2"/>
        <v>12</v>
      </c>
      <c r="D716" s="7">
        <v>13504.12</v>
      </c>
      <c r="E716" s="7">
        <v>12015.0</v>
      </c>
      <c r="F716" s="7">
        <v>16800.0</v>
      </c>
      <c r="G716" s="7">
        <v>28815.0</v>
      </c>
      <c r="H716" s="7">
        <v>345.73</v>
      </c>
      <c r="I716" s="7">
        <v>4185.0</v>
      </c>
      <c r="J716" s="7">
        <v>0.083</v>
      </c>
      <c r="K716" s="7">
        <v>3177.0</v>
      </c>
      <c r="L716" s="7">
        <v>3937.03</v>
      </c>
      <c r="M716" s="7">
        <v>5055.0</v>
      </c>
      <c r="N716" s="7">
        <v>0.779</v>
      </c>
      <c r="O716" s="8">
        <v>4062.0</v>
      </c>
      <c r="P716" s="7">
        <v>8391.98</v>
      </c>
      <c r="Q716" s="7">
        <v>2848794.0</v>
      </c>
      <c r="R716" s="7">
        <v>2.95</v>
      </c>
      <c r="S716" s="7">
        <v>8681.0</v>
      </c>
      <c r="T716" s="7">
        <v>734.93</v>
      </c>
      <c r="U716" s="7">
        <v>3040.0</v>
      </c>
      <c r="V716" s="7">
        <v>0.24</v>
      </c>
      <c r="W716" s="7">
        <v>1007.0</v>
      </c>
      <c r="X716" s="7">
        <v>94.45</v>
      </c>
      <c r="Y716" s="7">
        <v>46423.0</v>
      </c>
      <c r="Z716" s="7">
        <v>2.03</v>
      </c>
      <c r="AA716" s="7">
        <v>67.0</v>
      </c>
      <c r="AB716" s="7"/>
      <c r="AC716" s="7"/>
      <c r="AD716" s="7"/>
    </row>
    <row r="717" ht="15.75" customHeight="1">
      <c r="A717" s="6">
        <v>45277.0</v>
      </c>
      <c r="B717" s="7">
        <f t="shared" si="1"/>
        <v>17</v>
      </c>
      <c r="C717" s="7">
        <f t="shared" si="2"/>
        <v>12</v>
      </c>
      <c r="D717" s="7">
        <v>15506.57</v>
      </c>
      <c r="E717" s="7">
        <v>13453.0</v>
      </c>
      <c r="F717" s="7">
        <v>20636.0</v>
      </c>
      <c r="G717" s="7">
        <v>34089.0</v>
      </c>
      <c r="H717" s="7">
        <v>373.8</v>
      </c>
      <c r="I717" s="7">
        <v>5105.0</v>
      </c>
      <c r="J717" s="7">
        <v>0.073</v>
      </c>
      <c r="K717" s="7">
        <v>3885.0</v>
      </c>
      <c r="L717" s="7">
        <v>5148.79</v>
      </c>
      <c r="M717" s="7">
        <v>6754.0</v>
      </c>
      <c r="N717" s="7">
        <v>0.762</v>
      </c>
      <c r="O717" s="8">
        <v>5495.0</v>
      </c>
      <c r="P717" s="7">
        <v>9128.7</v>
      </c>
      <c r="Q717" s="7">
        <v>3305937.0</v>
      </c>
      <c r="R717" s="7">
        <v>2.76</v>
      </c>
      <c r="S717" s="7">
        <v>9871.0</v>
      </c>
      <c r="T717" s="7">
        <v>744.78</v>
      </c>
      <c r="U717" s="7">
        <v>3280.0</v>
      </c>
      <c r="V717" s="7">
        <v>0.23</v>
      </c>
      <c r="W717" s="7">
        <v>1122.0</v>
      </c>
      <c r="X717" s="7">
        <v>110.5</v>
      </c>
      <c r="Y717" s="7">
        <v>59077.0</v>
      </c>
      <c r="Z717" s="7">
        <v>1.87</v>
      </c>
      <c r="AA717" s="7">
        <v>81.0</v>
      </c>
      <c r="AB717" s="7"/>
      <c r="AC717" s="7"/>
      <c r="AD717" s="7"/>
    </row>
    <row r="718" ht="15.75" customHeight="1">
      <c r="A718" s="6">
        <v>45278.0</v>
      </c>
      <c r="B718" s="7">
        <f t="shared" si="1"/>
        <v>18</v>
      </c>
      <c r="C718" s="7">
        <f t="shared" si="2"/>
        <v>12</v>
      </c>
      <c r="D718" s="7">
        <v>15159.13</v>
      </c>
      <c r="E718" s="7">
        <v>14473.0</v>
      </c>
      <c r="F718" s="7">
        <v>18745.0</v>
      </c>
      <c r="G718" s="7">
        <v>33218.0</v>
      </c>
      <c r="H718" s="7">
        <v>461.48</v>
      </c>
      <c r="I718" s="7">
        <v>4816.0</v>
      </c>
      <c r="J718" s="7">
        <v>0.096</v>
      </c>
      <c r="K718" s="7">
        <v>3735.0</v>
      </c>
      <c r="L718" s="7">
        <v>4689.05</v>
      </c>
      <c r="M718" s="7">
        <v>5747.0</v>
      </c>
      <c r="N718" s="7">
        <v>0.816</v>
      </c>
      <c r="O718" s="8">
        <v>4804.0</v>
      </c>
      <c r="P718" s="7">
        <v>9014.29</v>
      </c>
      <c r="Q718" s="7">
        <v>3447611.0</v>
      </c>
      <c r="R718" s="7">
        <v>2.61</v>
      </c>
      <c r="S718" s="7">
        <v>9147.0</v>
      </c>
      <c r="T718" s="7">
        <v>850.1</v>
      </c>
      <c r="U718" s="7">
        <v>3085.0</v>
      </c>
      <c r="V718" s="7">
        <v>0.28</v>
      </c>
      <c r="W718" s="7">
        <v>1033.0</v>
      </c>
      <c r="X718" s="7">
        <v>144.21</v>
      </c>
      <c r="Y718" s="7">
        <v>89499.0</v>
      </c>
      <c r="Z718" s="7">
        <v>1.61</v>
      </c>
      <c r="AA718" s="7">
        <v>137.0</v>
      </c>
      <c r="AB718" s="7"/>
      <c r="AC718" s="7"/>
      <c r="AD718" s="7"/>
    </row>
    <row r="719" ht="15.75" customHeight="1">
      <c r="A719" s="6">
        <v>45279.0</v>
      </c>
      <c r="B719" s="7">
        <f t="shared" si="1"/>
        <v>19</v>
      </c>
      <c r="C719" s="7">
        <f t="shared" si="2"/>
        <v>12</v>
      </c>
      <c r="D719" s="7">
        <v>15054.84</v>
      </c>
      <c r="E719" s="7">
        <v>15563.0</v>
      </c>
      <c r="F719" s="7">
        <v>18356.0</v>
      </c>
      <c r="G719" s="7">
        <v>33919.0</v>
      </c>
      <c r="H719" s="7">
        <v>480.19</v>
      </c>
      <c r="I719" s="7">
        <v>4804.0</v>
      </c>
      <c r="J719" s="7">
        <v>0.1</v>
      </c>
      <c r="K719" s="7">
        <v>3829.0</v>
      </c>
      <c r="L719" s="7">
        <v>4449.36</v>
      </c>
      <c r="M719" s="7">
        <v>5433.0</v>
      </c>
      <c r="N719" s="7">
        <v>0.819</v>
      </c>
      <c r="O719" s="8">
        <v>4427.0</v>
      </c>
      <c r="P719" s="7">
        <v>8971.75</v>
      </c>
      <c r="Q719" s="7">
        <v>3365095.0</v>
      </c>
      <c r="R719" s="7">
        <v>2.67</v>
      </c>
      <c r="S719" s="7">
        <v>9118.0</v>
      </c>
      <c r="T719" s="7">
        <v>836.84</v>
      </c>
      <c r="U719" s="7">
        <v>3526.0</v>
      </c>
      <c r="V719" s="7">
        <v>0.24</v>
      </c>
      <c r="W719" s="7">
        <v>1014.0</v>
      </c>
      <c r="X719" s="7">
        <v>316.7</v>
      </c>
      <c r="Y719" s="7">
        <v>220038.0</v>
      </c>
      <c r="Z719" s="7">
        <v>1.44</v>
      </c>
      <c r="AA719" s="7">
        <v>249.0</v>
      </c>
      <c r="AB719" s="7"/>
      <c r="AC719" s="7"/>
      <c r="AD719" s="7"/>
    </row>
    <row r="720" ht="15.75" customHeight="1">
      <c r="A720" s="6">
        <v>45280.0</v>
      </c>
      <c r="B720" s="7">
        <f t="shared" si="1"/>
        <v>20</v>
      </c>
      <c r="C720" s="7">
        <f t="shared" si="2"/>
        <v>12</v>
      </c>
      <c r="D720" s="7">
        <v>14487.46</v>
      </c>
      <c r="E720" s="7">
        <v>14648.0</v>
      </c>
      <c r="F720" s="7">
        <v>17656.0</v>
      </c>
      <c r="G720" s="7">
        <v>32304.0</v>
      </c>
      <c r="H720" s="7">
        <v>456.94</v>
      </c>
      <c r="I720" s="7">
        <v>4615.0</v>
      </c>
      <c r="J720" s="7">
        <v>0.099</v>
      </c>
      <c r="K720" s="7">
        <v>3665.0</v>
      </c>
      <c r="L720" s="7">
        <v>4113.42</v>
      </c>
      <c r="M720" s="7">
        <v>5014.0</v>
      </c>
      <c r="N720" s="7">
        <v>0.82</v>
      </c>
      <c r="O720" s="8">
        <v>4259.0</v>
      </c>
      <c r="P720" s="7">
        <v>8731.34</v>
      </c>
      <c r="Q720" s="7">
        <v>3378904.0</v>
      </c>
      <c r="R720" s="7">
        <v>2.58</v>
      </c>
      <c r="S720" s="7">
        <v>9152.0</v>
      </c>
      <c r="T720" s="7">
        <v>790.55</v>
      </c>
      <c r="U720" s="7">
        <v>3462.0</v>
      </c>
      <c r="V720" s="7">
        <v>0.23</v>
      </c>
      <c r="W720" s="7">
        <v>996.0</v>
      </c>
      <c r="X720" s="7">
        <v>395.21</v>
      </c>
      <c r="Y720" s="7">
        <v>278886.0</v>
      </c>
      <c r="Z720" s="7">
        <v>1.42</v>
      </c>
      <c r="AA720" s="7">
        <v>211.0</v>
      </c>
      <c r="AB720" s="7"/>
      <c r="AC720" s="7"/>
      <c r="AD720" s="7"/>
    </row>
    <row r="721" ht="15.75" customHeight="1">
      <c r="A721" s="6">
        <v>45281.0</v>
      </c>
      <c r="B721" s="7">
        <f t="shared" si="1"/>
        <v>21</v>
      </c>
      <c r="C721" s="7">
        <f t="shared" si="2"/>
        <v>12</v>
      </c>
      <c r="D721" s="7">
        <v>14321.92</v>
      </c>
      <c r="E721" s="7">
        <v>13529.0</v>
      </c>
      <c r="F721" s="7">
        <v>17480.0</v>
      </c>
      <c r="G721" s="7">
        <v>31009.0</v>
      </c>
      <c r="H721" s="7">
        <v>471.04</v>
      </c>
      <c r="I721" s="7">
        <v>4581.0</v>
      </c>
      <c r="J721" s="7">
        <v>0.103</v>
      </c>
      <c r="K721" s="7">
        <v>3647.0</v>
      </c>
      <c r="L721" s="7">
        <v>4082.73</v>
      </c>
      <c r="M721" s="7">
        <v>4812.0</v>
      </c>
      <c r="N721" s="7">
        <v>0.848</v>
      </c>
      <c r="O721" s="8">
        <v>3975.0</v>
      </c>
      <c r="P721" s="7">
        <v>8582.32</v>
      </c>
      <c r="Q721" s="7">
        <v>3265407.0</v>
      </c>
      <c r="R721" s="7">
        <v>2.63</v>
      </c>
      <c r="S721" s="7">
        <v>8640.0</v>
      </c>
      <c r="T721" s="7">
        <v>825.28</v>
      </c>
      <c r="U721" s="7">
        <v>3812.0</v>
      </c>
      <c r="V721" s="7">
        <v>0.22</v>
      </c>
      <c r="W721" s="7">
        <v>994.0</v>
      </c>
      <c r="X721" s="7">
        <v>360.55</v>
      </c>
      <c r="Y721" s="7">
        <v>247398.0</v>
      </c>
      <c r="Z721" s="7">
        <v>1.46</v>
      </c>
      <c r="AA721" s="7">
        <v>233.0</v>
      </c>
      <c r="AB721" s="7"/>
      <c r="AC721" s="7"/>
      <c r="AD721" s="7"/>
    </row>
    <row r="722" ht="15.75" customHeight="1">
      <c r="A722" s="6">
        <v>45282.0</v>
      </c>
      <c r="B722" s="7">
        <f t="shared" si="1"/>
        <v>22</v>
      </c>
      <c r="C722" s="7">
        <f t="shared" si="2"/>
        <v>12</v>
      </c>
      <c r="D722" s="7">
        <v>14930.97</v>
      </c>
      <c r="E722" s="7">
        <v>12803.0</v>
      </c>
      <c r="F722" s="7">
        <v>17420.0</v>
      </c>
      <c r="G722" s="7">
        <v>30223.0</v>
      </c>
      <c r="H722" s="7">
        <v>407.6</v>
      </c>
      <c r="I722" s="7">
        <v>4394.0</v>
      </c>
      <c r="J722" s="7">
        <v>0.093</v>
      </c>
      <c r="K722" s="7">
        <v>3410.0</v>
      </c>
      <c r="L722" s="7">
        <v>4085.98</v>
      </c>
      <c r="M722" s="7">
        <v>4800.0</v>
      </c>
      <c r="N722" s="7">
        <v>0.851</v>
      </c>
      <c r="O722" s="8">
        <v>3951.0</v>
      </c>
      <c r="P722" s="7">
        <v>9091.64</v>
      </c>
      <c r="Q722" s="7">
        <v>3441296.0</v>
      </c>
      <c r="R722" s="7">
        <v>2.64</v>
      </c>
      <c r="S722" s="7">
        <v>8609.0</v>
      </c>
      <c r="T722" s="7">
        <v>811.23</v>
      </c>
      <c r="U722" s="7">
        <v>3699.0</v>
      </c>
      <c r="V722" s="7">
        <v>0.22</v>
      </c>
      <c r="W722" s="7">
        <v>1055.0</v>
      </c>
      <c r="X722" s="7">
        <v>534.52</v>
      </c>
      <c r="Y722" s="7">
        <v>315056.0</v>
      </c>
      <c r="Z722" s="7">
        <v>1.7</v>
      </c>
      <c r="AA722" s="7">
        <v>282.0</v>
      </c>
      <c r="AB722" s="7"/>
      <c r="AC722" s="7"/>
      <c r="AD722" s="7"/>
    </row>
    <row r="723" ht="15.75" customHeight="1">
      <c r="A723" s="6">
        <v>45283.0</v>
      </c>
      <c r="B723" s="7">
        <f t="shared" si="1"/>
        <v>23</v>
      </c>
      <c r="C723" s="7">
        <f t="shared" si="2"/>
        <v>12</v>
      </c>
      <c r="D723" s="7">
        <v>15198.28</v>
      </c>
      <c r="E723" s="7">
        <v>12344.0</v>
      </c>
      <c r="F723" s="7">
        <v>18582.0</v>
      </c>
      <c r="G723" s="7">
        <v>30926.0</v>
      </c>
      <c r="H723" s="7">
        <v>422.75</v>
      </c>
      <c r="I723" s="7">
        <v>4570.0</v>
      </c>
      <c r="J723" s="7">
        <v>0.093</v>
      </c>
      <c r="K723" s="7">
        <v>3509.0</v>
      </c>
      <c r="L723" s="7">
        <v>4256.7</v>
      </c>
      <c r="M723" s="7">
        <v>5251.0</v>
      </c>
      <c r="N723" s="7">
        <v>0.811</v>
      </c>
      <c r="O723" s="8">
        <v>4336.0</v>
      </c>
      <c r="P723" s="7">
        <v>9118.76</v>
      </c>
      <c r="Q723" s="7">
        <v>3581544.0</v>
      </c>
      <c r="R723" s="7">
        <v>2.55</v>
      </c>
      <c r="S723" s="7">
        <v>9583.0</v>
      </c>
      <c r="T723" s="7">
        <v>818.32</v>
      </c>
      <c r="U723" s="7">
        <v>3533.0</v>
      </c>
      <c r="V723" s="7">
        <v>0.23</v>
      </c>
      <c r="W723" s="7">
        <v>954.0</v>
      </c>
      <c r="X723" s="7">
        <v>581.75</v>
      </c>
      <c r="Y723" s="7">
        <v>316822.0</v>
      </c>
      <c r="Z723" s="7">
        <v>1.84</v>
      </c>
      <c r="AA723" s="7">
        <v>390.0</v>
      </c>
      <c r="AB723" s="7"/>
      <c r="AC723" s="7"/>
      <c r="AD723" s="7"/>
    </row>
    <row r="724" ht="15.75" customHeight="1">
      <c r="A724" s="6">
        <v>45284.0</v>
      </c>
      <c r="B724" s="7">
        <f t="shared" si="1"/>
        <v>24</v>
      </c>
      <c r="C724" s="7">
        <f t="shared" si="2"/>
        <v>12</v>
      </c>
      <c r="D724" s="7">
        <v>15527.58</v>
      </c>
      <c r="E724" s="7">
        <v>12114.0</v>
      </c>
      <c r="F724" s="7">
        <v>19151.0</v>
      </c>
      <c r="G724" s="7">
        <v>31265.0</v>
      </c>
      <c r="H724" s="7">
        <v>366.98</v>
      </c>
      <c r="I724" s="7">
        <v>4594.0</v>
      </c>
      <c r="J724" s="7">
        <v>0.08</v>
      </c>
      <c r="K724" s="7">
        <v>3543.0</v>
      </c>
      <c r="L724" s="7">
        <v>4381.96</v>
      </c>
      <c r="M724" s="7">
        <v>5369.0</v>
      </c>
      <c r="N724" s="7">
        <v>0.816</v>
      </c>
      <c r="O724" s="8">
        <v>4353.0</v>
      </c>
      <c r="P724" s="7">
        <v>9445.75</v>
      </c>
      <c r="Q724" s="7">
        <v>4281691.0</v>
      </c>
      <c r="R724" s="7">
        <v>2.21</v>
      </c>
      <c r="S724" s="7">
        <v>9618.0</v>
      </c>
      <c r="T724" s="7">
        <v>803.34</v>
      </c>
      <c r="U724" s="7">
        <v>3933.0</v>
      </c>
      <c r="V724" s="7">
        <v>0.2</v>
      </c>
      <c r="W724" s="7">
        <v>1025.0</v>
      </c>
      <c r="X724" s="7">
        <v>529.55</v>
      </c>
      <c r="Y724" s="7">
        <v>335033.0</v>
      </c>
      <c r="Z724" s="7">
        <v>1.58</v>
      </c>
      <c r="AA724" s="7">
        <v>314.0</v>
      </c>
      <c r="AB724" s="7"/>
      <c r="AC724" s="7"/>
      <c r="AD724" s="7"/>
    </row>
    <row r="725" ht="15.75" customHeight="1">
      <c r="A725" s="6">
        <v>45285.0</v>
      </c>
      <c r="B725" s="7">
        <f t="shared" si="1"/>
        <v>25</v>
      </c>
      <c r="C725" s="7">
        <f t="shared" si="2"/>
        <v>12</v>
      </c>
      <c r="D725" s="7">
        <v>15140.85</v>
      </c>
      <c r="E725" s="7">
        <v>12539.0</v>
      </c>
      <c r="F725" s="7">
        <v>20832.0</v>
      </c>
      <c r="G725" s="7">
        <v>33371.0</v>
      </c>
      <c r="H725" s="7">
        <v>344.4</v>
      </c>
      <c r="I725" s="7">
        <v>5121.0</v>
      </c>
      <c r="J725" s="7">
        <v>0.067</v>
      </c>
      <c r="K725" s="7">
        <v>3913.0</v>
      </c>
      <c r="L725" s="7">
        <v>4242.66</v>
      </c>
      <c r="M725" s="7">
        <v>5464.0</v>
      </c>
      <c r="N725" s="7">
        <v>0.776</v>
      </c>
      <c r="O725" s="8">
        <v>4471.0</v>
      </c>
      <c r="P725" s="7">
        <v>9172.49</v>
      </c>
      <c r="Q725" s="7">
        <v>5323060.0</v>
      </c>
      <c r="R725" s="7">
        <v>1.72</v>
      </c>
      <c r="S725" s="7">
        <v>10958.0</v>
      </c>
      <c r="T725" s="7">
        <v>846.81</v>
      </c>
      <c r="U725" s="7">
        <v>3990.0</v>
      </c>
      <c r="V725" s="7">
        <v>0.21</v>
      </c>
      <c r="W725" s="7">
        <v>1075.0</v>
      </c>
      <c r="X725" s="7">
        <v>534.49</v>
      </c>
      <c r="Y725" s="7">
        <v>385738.0</v>
      </c>
      <c r="Z725" s="7">
        <v>1.39</v>
      </c>
      <c r="AA725" s="7">
        <v>296.0</v>
      </c>
      <c r="AB725" s="7"/>
      <c r="AC725" s="7"/>
      <c r="AD725" s="7"/>
    </row>
    <row r="726" ht="15.75" customHeight="1">
      <c r="A726" s="6">
        <v>45286.0</v>
      </c>
      <c r="B726" s="7">
        <f t="shared" si="1"/>
        <v>26</v>
      </c>
      <c r="C726" s="7">
        <f t="shared" si="2"/>
        <v>12</v>
      </c>
      <c r="D726" s="7">
        <v>17668.59</v>
      </c>
      <c r="E726" s="7">
        <v>18501.0</v>
      </c>
      <c r="F726" s="7">
        <v>28400.0</v>
      </c>
      <c r="G726" s="7">
        <v>46901.0</v>
      </c>
      <c r="H726" s="7">
        <v>489.84</v>
      </c>
      <c r="I726" s="7">
        <v>7638.0</v>
      </c>
      <c r="J726" s="7">
        <v>0.064</v>
      </c>
      <c r="K726" s="7">
        <v>5627.0</v>
      </c>
      <c r="L726" s="7">
        <v>6768.65</v>
      </c>
      <c r="M726" s="7">
        <v>9813.0</v>
      </c>
      <c r="N726" s="7">
        <v>0.69</v>
      </c>
      <c r="O726" s="8">
        <v>7814.0</v>
      </c>
      <c r="P726" s="7">
        <v>8991.84</v>
      </c>
      <c r="Q726" s="7">
        <v>4958629.0</v>
      </c>
      <c r="R726" s="7">
        <v>1.81</v>
      </c>
      <c r="S726" s="7">
        <v>13585.0</v>
      </c>
      <c r="T726" s="7">
        <v>847.85</v>
      </c>
      <c r="U726" s="7">
        <v>4031.0</v>
      </c>
      <c r="V726" s="7">
        <v>0.21</v>
      </c>
      <c r="W726" s="7">
        <v>1208.0</v>
      </c>
      <c r="X726" s="7">
        <v>570.41</v>
      </c>
      <c r="Y726" s="7">
        <v>428183.0</v>
      </c>
      <c r="Z726" s="7">
        <v>1.33</v>
      </c>
      <c r="AA726" s="7">
        <v>413.0</v>
      </c>
      <c r="AB726" s="7"/>
      <c r="AC726" s="7"/>
      <c r="AD726" s="7"/>
    </row>
    <row r="727" ht="15.75" customHeight="1">
      <c r="A727" s="6">
        <v>45287.0</v>
      </c>
      <c r="B727" s="7">
        <f t="shared" si="1"/>
        <v>27</v>
      </c>
      <c r="C727" s="7">
        <f t="shared" si="2"/>
        <v>12</v>
      </c>
      <c r="D727" s="7">
        <v>16346.82</v>
      </c>
      <c r="E727" s="7">
        <v>24202.0</v>
      </c>
      <c r="F727" s="7">
        <v>24434.0</v>
      </c>
      <c r="G727" s="7">
        <v>48636.0</v>
      </c>
      <c r="H727" s="7">
        <v>623.08</v>
      </c>
      <c r="I727" s="7">
        <v>8158.0</v>
      </c>
      <c r="J727" s="7">
        <v>0.076</v>
      </c>
      <c r="K727" s="7">
        <v>5538.0</v>
      </c>
      <c r="L727" s="7">
        <v>6089.24</v>
      </c>
      <c r="M727" s="7">
        <v>8126.0</v>
      </c>
      <c r="N727" s="7">
        <v>0.749</v>
      </c>
      <c r="O727" s="8">
        <v>6078.0</v>
      </c>
      <c r="P727" s="7">
        <v>8471.69</v>
      </c>
      <c r="Q727" s="7">
        <v>4510346.0</v>
      </c>
      <c r="R727" s="7">
        <v>1.88</v>
      </c>
      <c r="S727" s="7">
        <v>11981.0</v>
      </c>
      <c r="T727" s="7">
        <v>663.4</v>
      </c>
      <c r="U727" s="7">
        <v>3351.0</v>
      </c>
      <c r="V727" s="7">
        <v>0.2</v>
      </c>
      <c r="W727" s="7">
        <v>916.0</v>
      </c>
      <c r="X727" s="7">
        <v>499.41</v>
      </c>
      <c r="Y727" s="7">
        <v>413721.0</v>
      </c>
      <c r="Z727" s="7">
        <v>1.21</v>
      </c>
      <c r="AA727" s="7">
        <v>272.0</v>
      </c>
      <c r="AB727" s="7"/>
      <c r="AC727" s="7"/>
      <c r="AD727" s="7"/>
    </row>
    <row r="728" ht="15.75" customHeight="1">
      <c r="A728" s="6">
        <v>45288.0</v>
      </c>
      <c r="B728" s="7">
        <f t="shared" si="1"/>
        <v>28</v>
      </c>
      <c r="C728" s="7">
        <f t="shared" si="2"/>
        <v>12</v>
      </c>
      <c r="D728" s="7">
        <v>13562.72</v>
      </c>
      <c r="E728" s="7">
        <v>21184.0</v>
      </c>
      <c r="F728" s="7">
        <v>25218.0</v>
      </c>
      <c r="G728" s="7">
        <v>46402.0</v>
      </c>
      <c r="H728" s="7">
        <v>571.59</v>
      </c>
      <c r="I728" s="7">
        <v>7894.0</v>
      </c>
      <c r="J728" s="7">
        <v>0.072</v>
      </c>
      <c r="K728" s="7">
        <v>6036.0</v>
      </c>
      <c r="L728" s="7">
        <v>4753.05</v>
      </c>
      <c r="M728" s="7">
        <v>6568.0</v>
      </c>
      <c r="N728" s="7">
        <v>0.724</v>
      </c>
      <c r="O728" s="8">
        <v>5645.0</v>
      </c>
      <c r="P728" s="7">
        <v>7443.16</v>
      </c>
      <c r="Q728" s="7">
        <v>4038167.0</v>
      </c>
      <c r="R728" s="7">
        <v>1.84</v>
      </c>
      <c r="S728" s="7">
        <v>11818.0</v>
      </c>
      <c r="T728" s="7">
        <v>444.25</v>
      </c>
      <c r="U728" s="7">
        <v>6278.0</v>
      </c>
      <c r="V728" s="7">
        <v>0.07</v>
      </c>
      <c r="W728" s="7">
        <v>1882.0</v>
      </c>
      <c r="X728" s="7">
        <v>350.67</v>
      </c>
      <c r="Y728" s="7">
        <v>269689.0</v>
      </c>
      <c r="Z728" s="7">
        <v>1.3</v>
      </c>
      <c r="AA728" s="7">
        <v>256.0</v>
      </c>
      <c r="AB728" s="7"/>
      <c r="AC728" s="7"/>
      <c r="AD728" s="7"/>
    </row>
    <row r="729" ht="15.75" customHeight="1">
      <c r="A729" s="6">
        <v>45289.0</v>
      </c>
      <c r="B729" s="7">
        <f t="shared" si="1"/>
        <v>29</v>
      </c>
      <c r="C729" s="7">
        <f t="shared" si="2"/>
        <v>12</v>
      </c>
      <c r="D729" s="7">
        <v>12230.3</v>
      </c>
      <c r="E729" s="7">
        <v>19185.0</v>
      </c>
      <c r="F729" s="7">
        <v>23473.0</v>
      </c>
      <c r="G729" s="7">
        <v>42658.0</v>
      </c>
      <c r="H729" s="7">
        <v>496.32</v>
      </c>
      <c r="I729" s="7">
        <v>7046.0</v>
      </c>
      <c r="J729" s="7">
        <v>0.07</v>
      </c>
      <c r="K729" s="7">
        <v>5671.0</v>
      </c>
      <c r="L729" s="7">
        <v>4212.91</v>
      </c>
      <c r="M729" s="7">
        <v>5807.0</v>
      </c>
      <c r="N729" s="7">
        <v>0.725</v>
      </c>
      <c r="O729" s="8">
        <v>5121.0</v>
      </c>
      <c r="P729" s="7">
        <v>6798.53</v>
      </c>
      <c r="Q729" s="7">
        <v>3881429.0</v>
      </c>
      <c r="R729" s="7">
        <v>1.75</v>
      </c>
      <c r="S729" s="7">
        <v>10869.0</v>
      </c>
      <c r="T729" s="7">
        <v>387.57</v>
      </c>
      <c r="U729" s="7">
        <v>4922.0</v>
      </c>
      <c r="V729" s="7">
        <v>0.08</v>
      </c>
      <c r="W729" s="7">
        <v>1493.0</v>
      </c>
      <c r="X729" s="7">
        <v>334.97</v>
      </c>
      <c r="Y729" s="7">
        <v>292407.0</v>
      </c>
      <c r="Z729" s="7">
        <v>1.15</v>
      </c>
      <c r="AA729" s="7">
        <v>227.0</v>
      </c>
      <c r="AB729" s="7"/>
      <c r="AC729" s="7"/>
      <c r="AD729" s="7"/>
    </row>
    <row r="730" ht="15.75" customHeight="1">
      <c r="A730" s="6">
        <v>45290.0</v>
      </c>
      <c r="B730" s="7">
        <f t="shared" si="1"/>
        <v>30</v>
      </c>
      <c r="C730" s="7">
        <f t="shared" si="2"/>
        <v>12</v>
      </c>
      <c r="D730" s="7">
        <v>12176.04</v>
      </c>
      <c r="E730" s="7">
        <v>17996.0</v>
      </c>
      <c r="F730" s="7">
        <v>23891.0</v>
      </c>
      <c r="G730" s="7">
        <v>41887.0</v>
      </c>
      <c r="H730" s="7">
        <v>456.9</v>
      </c>
      <c r="I730" s="7">
        <v>7051.0</v>
      </c>
      <c r="J730" s="7">
        <v>0.065</v>
      </c>
      <c r="K730" s="7">
        <v>5423.0</v>
      </c>
      <c r="L730" s="7">
        <v>3987.38</v>
      </c>
      <c r="M730" s="7">
        <v>5872.0</v>
      </c>
      <c r="N730" s="7">
        <v>0.679</v>
      </c>
      <c r="O730" s="8">
        <v>4910.0</v>
      </c>
      <c r="P730" s="7">
        <v>6956.72</v>
      </c>
      <c r="Q730" s="7">
        <v>4101749.0</v>
      </c>
      <c r="R730" s="7">
        <v>1.7</v>
      </c>
      <c r="S730" s="7">
        <v>11624.0</v>
      </c>
      <c r="T730" s="7">
        <v>410.74</v>
      </c>
      <c r="U730" s="7">
        <v>5817.0</v>
      </c>
      <c r="V730" s="7">
        <v>0.07</v>
      </c>
      <c r="W730" s="7">
        <v>1457.0</v>
      </c>
      <c r="X730" s="7">
        <v>364.3</v>
      </c>
      <c r="Y730" s="7">
        <v>300012.0</v>
      </c>
      <c r="Z730" s="7">
        <v>1.21</v>
      </c>
      <c r="AA730" s="7">
        <v>314.0</v>
      </c>
      <c r="AB730" s="7"/>
      <c r="AC730" s="7"/>
      <c r="AD730" s="7"/>
    </row>
    <row r="731" ht="15.75" customHeight="1">
      <c r="A731" s="6">
        <v>45291.0</v>
      </c>
      <c r="B731" s="7">
        <f t="shared" si="1"/>
        <v>31</v>
      </c>
      <c r="C731" s="7">
        <f t="shared" si="2"/>
        <v>12</v>
      </c>
      <c r="D731" s="7">
        <v>11710.42</v>
      </c>
      <c r="E731" s="7">
        <v>16008.0</v>
      </c>
      <c r="F731" s="7">
        <v>21115.0</v>
      </c>
      <c r="G731" s="7">
        <v>37123.0</v>
      </c>
      <c r="H731" s="7">
        <v>391.56</v>
      </c>
      <c r="I731" s="7">
        <v>6092.0</v>
      </c>
      <c r="J731" s="7">
        <v>0.064</v>
      </c>
      <c r="K731" s="7">
        <v>4425.0</v>
      </c>
      <c r="L731" s="7">
        <v>3462.2</v>
      </c>
      <c r="M731" s="7">
        <v>5488.0</v>
      </c>
      <c r="N731" s="7">
        <v>0.631</v>
      </c>
      <c r="O731" s="8">
        <v>4441.0</v>
      </c>
      <c r="P731" s="7">
        <v>7164.32</v>
      </c>
      <c r="Q731" s="7">
        <v>5026779.0</v>
      </c>
      <c r="R731" s="7">
        <v>1.43</v>
      </c>
      <c r="S731" s="7">
        <v>10511.0</v>
      </c>
      <c r="T731" s="7">
        <v>323.04</v>
      </c>
      <c r="U731" s="7">
        <v>4890.0</v>
      </c>
      <c r="V731" s="7">
        <v>0.07</v>
      </c>
      <c r="W731" s="7">
        <v>1620.0</v>
      </c>
      <c r="X731" s="7">
        <v>369.3</v>
      </c>
      <c r="Y731" s="7">
        <v>313109.0</v>
      </c>
      <c r="Z731" s="7">
        <v>1.18</v>
      </c>
      <c r="AA731" s="7">
        <v>264.0</v>
      </c>
      <c r="AB731" s="7"/>
      <c r="AC731" s="7"/>
      <c r="AD731" s="7"/>
    </row>
    <row r="732" ht="15.75" customHeight="1">
      <c r="A732" s="6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8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ht="15.75" customHeight="1">
      <c r="A733" s="6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8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ht="15.75" customHeight="1">
      <c r="A734" s="6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8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ht="15.75" customHeight="1">
      <c r="A735" s="6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8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ht="15.75" customHeight="1">
      <c r="A736" s="6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8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ht="15.75" customHeight="1">
      <c r="A737" s="6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8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ht="15.75" customHeight="1">
      <c r="A738" s="6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8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ht="15.75" customHeight="1">
      <c r="A739" s="6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8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ht="15.75" customHeight="1">
      <c r="A740" s="6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8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ht="15.75" customHeight="1">
      <c r="A741" s="6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8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ht="15.75" customHeight="1">
      <c r="A742" s="6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8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ht="15.75" customHeight="1">
      <c r="A743" s="6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8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ht="15.75" customHeight="1">
      <c r="A744" s="6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8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ht="15.75" customHeight="1">
      <c r="A745" s="6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8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ht="15.75" customHeight="1">
      <c r="A746" s="6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8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ht="15.75" customHeight="1">
      <c r="A747" s="6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8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ht="15.75" customHeight="1">
      <c r="A748" s="6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8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ht="15.75" customHeight="1">
      <c r="A749" s="6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8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ht="15.75" customHeight="1">
      <c r="A750" s="6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8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ht="15.75" customHeight="1">
      <c r="A751" s="6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8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ht="15.75" customHeight="1">
      <c r="A752" s="6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8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ht="15.75" customHeight="1">
      <c r="A753" s="6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8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ht="15.75" customHeight="1">
      <c r="A754" s="6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8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ht="15.75" customHeight="1">
      <c r="A755" s="6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8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ht="15.75" customHeight="1">
      <c r="A756" s="6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8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ht="15.75" customHeight="1">
      <c r="A757" s="6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8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ht="15.75" customHeight="1">
      <c r="A758" s="6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8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ht="15.75" customHeight="1">
      <c r="A759" s="6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8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ht="15.75" customHeight="1">
      <c r="A760" s="6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8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ht="15.75" customHeight="1">
      <c r="A761" s="6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8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ht="15.75" customHeight="1">
      <c r="A762" s="6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8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ht="15.75" customHeight="1">
      <c r="A763" s="6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8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ht="15.75" customHeight="1">
      <c r="A764" s="6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8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ht="15.75" customHeight="1">
      <c r="A765" s="6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8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ht="15.75" customHeight="1">
      <c r="A766" s="6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8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ht="15.75" customHeight="1">
      <c r="A767" s="6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8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ht="15.75" customHeight="1">
      <c r="A768" s="6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8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ht="15.75" customHeight="1">
      <c r="A769" s="6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8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ht="15.75" customHeight="1">
      <c r="A770" s="6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8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ht="15.75" customHeight="1">
      <c r="A771" s="6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8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ht="15.75" customHeight="1">
      <c r="A772" s="6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8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ht="15.75" customHeight="1">
      <c r="A773" s="6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8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ht="15.75" customHeight="1">
      <c r="A774" s="6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8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ht="15.75" customHeight="1">
      <c r="A775" s="6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8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ht="15.75" customHeight="1">
      <c r="A776" s="6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8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ht="15.75" customHeight="1">
      <c r="A777" s="6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8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ht="15.75" customHeight="1">
      <c r="A778" s="6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8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ht="15.75" customHeight="1">
      <c r="A779" s="6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8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ht="15.75" customHeight="1">
      <c r="A780" s="6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8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ht="15.75" customHeight="1">
      <c r="A781" s="6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8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ht="15.75" customHeight="1">
      <c r="A782" s="6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8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ht="15.75" customHeight="1">
      <c r="A783" s="6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8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ht="15.75" customHeight="1">
      <c r="A784" s="6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8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ht="15.75" customHeight="1">
      <c r="A785" s="6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8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ht="15.75" customHeight="1">
      <c r="A786" s="6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8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ht="15.75" customHeight="1">
      <c r="A787" s="6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8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ht="15.75" customHeight="1">
      <c r="A788" s="6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8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ht="15.75" customHeight="1">
      <c r="A789" s="6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8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ht="15.75" customHeight="1">
      <c r="A790" s="6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8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ht="15.75" customHeight="1">
      <c r="A791" s="6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8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ht="15.75" customHeight="1">
      <c r="A792" s="6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8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ht="15.75" customHeight="1">
      <c r="A793" s="6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8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ht="15.75" customHeight="1">
      <c r="A794" s="6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8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ht="15.75" customHeight="1">
      <c r="A795" s="6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8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ht="15.75" customHeight="1">
      <c r="A796" s="6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8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ht="15.75" customHeight="1">
      <c r="A797" s="6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8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ht="15.75" customHeight="1">
      <c r="A798" s="6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8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ht="15.75" customHeight="1">
      <c r="A799" s="6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8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ht="15.75" customHeight="1">
      <c r="A800" s="6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8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ht="15.75" customHeight="1">
      <c r="A801" s="6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8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ht="15.75" customHeight="1">
      <c r="A802" s="6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8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ht="15.75" customHeight="1">
      <c r="A803" s="6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8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ht="15.75" customHeight="1">
      <c r="A804" s="6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8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ht="15.75" customHeight="1">
      <c r="A805" s="6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8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ht="15.75" customHeight="1">
      <c r="A806" s="6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8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ht="15.75" customHeight="1">
      <c r="A807" s="6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8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ht="15.75" customHeight="1">
      <c r="A808" s="6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8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ht="15.75" customHeight="1">
      <c r="A809" s="6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8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ht="15.75" customHeight="1">
      <c r="A810" s="6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8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ht="15.75" customHeight="1">
      <c r="A811" s="6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8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ht="15.75" customHeight="1">
      <c r="A812" s="6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8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ht="15.75" customHeight="1">
      <c r="A813" s="6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8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ht="15.75" customHeight="1">
      <c r="A814" s="6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8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ht="15.75" customHeight="1">
      <c r="A815" s="6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8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ht="15.75" customHeight="1">
      <c r="A816" s="6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8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ht="15.75" customHeight="1">
      <c r="A817" s="6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8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ht="15.75" customHeight="1">
      <c r="A818" s="6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8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ht="15.75" customHeight="1">
      <c r="A819" s="6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8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ht="15.75" customHeight="1">
      <c r="A820" s="6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8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ht="15.75" customHeight="1">
      <c r="A821" s="6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8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ht="15.75" customHeight="1">
      <c r="A822" s="6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8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ht="15.75" customHeight="1">
      <c r="A823" s="6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8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ht="15.75" customHeight="1">
      <c r="A824" s="6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8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ht="15.75" customHeight="1">
      <c r="A825" s="6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8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ht="15.75" customHeight="1">
      <c r="A826" s="6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8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ht="15.75" customHeight="1">
      <c r="A827" s="6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8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ht="15.75" customHeight="1">
      <c r="A828" s="6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8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ht="15.75" customHeight="1">
      <c r="A829" s="6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8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ht="15.75" customHeight="1">
      <c r="A830" s="6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8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ht="15.75" customHeight="1">
      <c r="A831" s="6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8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ht="15.75" customHeight="1">
      <c r="A832" s="6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8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ht="15.75" customHeight="1">
      <c r="A833" s="6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8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ht="15.75" customHeight="1">
      <c r="A834" s="6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8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ht="15.75" customHeight="1">
      <c r="A835" s="6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8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ht="15.75" customHeight="1">
      <c r="A836" s="6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8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ht="15.75" customHeight="1">
      <c r="A837" s="6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8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ht="15.75" customHeight="1">
      <c r="A838" s="6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8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ht="15.75" customHeight="1">
      <c r="A839" s="6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8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ht="15.75" customHeight="1">
      <c r="A840" s="6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8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ht="15.75" customHeight="1">
      <c r="A841" s="6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8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ht="15.75" customHeight="1">
      <c r="A842" s="6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8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ht="15.75" customHeight="1">
      <c r="A843" s="6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8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ht="15.75" customHeight="1">
      <c r="A844" s="6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8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ht="15.75" customHeight="1">
      <c r="A845" s="6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8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8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8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8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8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8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8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8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8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8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8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8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8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8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8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8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8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8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8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8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8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8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8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8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8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8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8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8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8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8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8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8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8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8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8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8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8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8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8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8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8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8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8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8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8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8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8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8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8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8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8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8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8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8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8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8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8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8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8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8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8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8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8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8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8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8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8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8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8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8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8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8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8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8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8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8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8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8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8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8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8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8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8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8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8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8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8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4" width="16.14"/>
    <col customWidth="1" min="5" max="28" width="20.71"/>
  </cols>
  <sheetData>
    <row r="1" ht="12.0" customHeight="1">
      <c r="A1" s="14" t="s">
        <v>27</v>
      </c>
      <c r="B1" s="14" t="s">
        <v>28</v>
      </c>
      <c r="C1" s="14" t="s">
        <v>29</v>
      </c>
      <c r="D1" s="14" t="s">
        <v>30</v>
      </c>
      <c r="E1" s="15" t="s">
        <v>3</v>
      </c>
      <c r="F1" s="14" t="s">
        <v>4</v>
      </c>
      <c r="G1" s="14" t="s">
        <v>5</v>
      </c>
      <c r="H1" s="14" t="s">
        <v>6</v>
      </c>
      <c r="I1" s="15" t="s">
        <v>7</v>
      </c>
      <c r="J1" s="14" t="s">
        <v>8</v>
      </c>
      <c r="K1" s="14" t="s">
        <v>9</v>
      </c>
      <c r="L1" s="14" t="s">
        <v>10</v>
      </c>
      <c r="M1" s="15" t="s">
        <v>11</v>
      </c>
      <c r="N1" s="14" t="s">
        <v>12</v>
      </c>
      <c r="O1" s="14" t="s">
        <v>13</v>
      </c>
      <c r="P1" s="14" t="s">
        <v>14</v>
      </c>
      <c r="Q1" s="15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5" t="s">
        <v>23</v>
      </c>
      <c r="Z1" s="16" t="s">
        <v>24</v>
      </c>
      <c r="AA1" s="17" t="s">
        <v>25</v>
      </c>
      <c r="AB1" s="17" t="s">
        <v>26</v>
      </c>
    </row>
    <row r="2" ht="12.0" customHeight="1">
      <c r="A2" s="6">
        <v>44564.0</v>
      </c>
      <c r="B2" s="6">
        <v>44570.0</v>
      </c>
      <c r="C2" s="7">
        <v>1.0</v>
      </c>
      <c r="D2" s="7">
        <v>2022.0</v>
      </c>
      <c r="E2" s="11">
        <v>12273.27</v>
      </c>
      <c r="F2" s="7">
        <v>27676.0</v>
      </c>
      <c r="G2" s="7">
        <v>41796.0</v>
      </c>
      <c r="H2" s="7">
        <f t="shared" ref="H2:H117" si="1">SUM(F2:G2)</f>
        <v>69472</v>
      </c>
      <c r="I2" s="11">
        <v>629.16</v>
      </c>
      <c r="J2" s="7">
        <v>9630.0</v>
      </c>
      <c r="K2" s="9">
        <f t="shared" ref="K2:K117" si="2">I2/J2</f>
        <v>0.06533333333</v>
      </c>
      <c r="L2" s="7">
        <v>8306.0</v>
      </c>
      <c r="M2" s="11">
        <v>4970.03</v>
      </c>
      <c r="N2" s="7">
        <v>8283.0</v>
      </c>
      <c r="O2" s="9">
        <f t="shared" ref="O2:O117" si="3">M2/N2</f>
        <v>0.6000277677</v>
      </c>
      <c r="P2" s="7">
        <v>7736.0</v>
      </c>
      <c r="Q2" s="11">
        <v>6452.879999999999</v>
      </c>
      <c r="R2" s="7">
        <v>6623541.0</v>
      </c>
      <c r="S2" s="9">
        <f t="shared" ref="S2:S117" si="4">Q2/R2*1000</f>
        <v>0.9742341747</v>
      </c>
      <c r="T2" s="7">
        <v>25754.0</v>
      </c>
      <c r="U2" s="11">
        <v>221.2</v>
      </c>
      <c r="V2" s="7">
        <v>643.0</v>
      </c>
      <c r="W2" s="12">
        <f t="shared" ref="W2:W117" si="5">IFERROR(U2/V2, "-")</f>
        <v>0.3440124417</v>
      </c>
      <c r="X2" s="10">
        <v>738.0</v>
      </c>
      <c r="Y2" s="11">
        <v>0.0</v>
      </c>
      <c r="Z2" s="7">
        <v>0.0</v>
      </c>
      <c r="AA2" s="12" t="str">
        <f t="shared" ref="AA2:AA117" si="6">IFERROR(Y2/Z2*1000, "-")</f>
        <v>-</v>
      </c>
      <c r="AB2" s="10">
        <v>0.0</v>
      </c>
    </row>
    <row r="3" ht="12.0" customHeight="1">
      <c r="A3" s="6">
        <v>44571.0</v>
      </c>
      <c r="B3" s="6">
        <v>44577.0</v>
      </c>
      <c r="C3" s="7">
        <v>2.0</v>
      </c>
      <c r="D3" s="7">
        <v>2022.0</v>
      </c>
      <c r="E3" s="11">
        <v>25112.84</v>
      </c>
      <c r="F3" s="7">
        <v>22431.0</v>
      </c>
      <c r="G3" s="7">
        <v>33923.0</v>
      </c>
      <c r="H3" s="7">
        <f t="shared" si="1"/>
        <v>56354</v>
      </c>
      <c r="I3" s="11">
        <v>530.98</v>
      </c>
      <c r="J3" s="7">
        <v>8499.0</v>
      </c>
      <c r="K3" s="9">
        <f t="shared" si="2"/>
        <v>0.06247558536</v>
      </c>
      <c r="L3" s="7">
        <v>6426.0</v>
      </c>
      <c r="M3" s="11">
        <v>10382.22</v>
      </c>
      <c r="N3" s="7">
        <v>13197.0</v>
      </c>
      <c r="O3" s="9">
        <f t="shared" si="3"/>
        <v>0.786710616</v>
      </c>
      <c r="P3" s="7">
        <v>9605.0</v>
      </c>
      <c r="Q3" s="11">
        <v>12460.55</v>
      </c>
      <c r="R3" s="7">
        <v>9889200.0</v>
      </c>
      <c r="S3" s="9">
        <f t="shared" si="4"/>
        <v>1.260015977</v>
      </c>
      <c r="T3" s="7">
        <v>17892.0</v>
      </c>
      <c r="U3" s="11">
        <v>1739.09</v>
      </c>
      <c r="V3" s="7">
        <v>26587.0</v>
      </c>
      <c r="W3" s="12">
        <f t="shared" si="5"/>
        <v>0.06541129123</v>
      </c>
      <c r="X3" s="10">
        <v>2633.0</v>
      </c>
      <c r="Y3" s="11">
        <v>0.0</v>
      </c>
      <c r="Z3" s="7">
        <v>0.0</v>
      </c>
      <c r="AA3" s="12" t="str">
        <f t="shared" si="6"/>
        <v>-</v>
      </c>
      <c r="AB3" s="10">
        <v>0.0</v>
      </c>
    </row>
    <row r="4" ht="12.0" customHeight="1">
      <c r="A4" s="6">
        <v>44578.0</v>
      </c>
      <c r="B4" s="6">
        <v>44584.0</v>
      </c>
      <c r="C4" s="7">
        <v>3.0</v>
      </c>
      <c r="D4" s="7">
        <v>2022.0</v>
      </c>
      <c r="E4" s="11">
        <v>27255.44</v>
      </c>
      <c r="F4" s="7">
        <v>24948.0</v>
      </c>
      <c r="G4" s="7">
        <v>39701.0</v>
      </c>
      <c r="H4" s="7">
        <f t="shared" si="1"/>
        <v>64649</v>
      </c>
      <c r="I4" s="11">
        <v>535.57</v>
      </c>
      <c r="J4" s="7">
        <v>9360.0</v>
      </c>
      <c r="K4" s="9">
        <f t="shared" si="2"/>
        <v>0.05721901709</v>
      </c>
      <c r="L4" s="7">
        <v>6464.0</v>
      </c>
      <c r="M4" s="11">
        <v>14011.2</v>
      </c>
      <c r="N4" s="7">
        <v>16399.0</v>
      </c>
      <c r="O4" s="9">
        <f t="shared" si="3"/>
        <v>0.8543935606</v>
      </c>
      <c r="P4" s="7">
        <v>11132.0</v>
      </c>
      <c r="Q4" s="11">
        <v>12708.67</v>
      </c>
      <c r="R4" s="7">
        <v>9576363.0</v>
      </c>
      <c r="S4" s="9">
        <f t="shared" si="4"/>
        <v>1.32708733</v>
      </c>
      <c r="T4" s="7">
        <v>22105.0</v>
      </c>
      <c r="U4" s="11">
        <v>0.0</v>
      </c>
      <c r="V4" s="7">
        <v>0.0</v>
      </c>
      <c r="W4" s="12" t="str">
        <f t="shared" si="5"/>
        <v>-</v>
      </c>
      <c r="X4" s="10">
        <v>120.0</v>
      </c>
      <c r="Y4" s="11">
        <v>0.0</v>
      </c>
      <c r="Z4" s="7">
        <v>0.0</v>
      </c>
      <c r="AA4" s="12" t="str">
        <f t="shared" si="6"/>
        <v>-</v>
      </c>
      <c r="AB4" s="10">
        <v>0.0</v>
      </c>
    </row>
    <row r="5" ht="12.0" customHeight="1">
      <c r="A5" s="6">
        <v>44585.0</v>
      </c>
      <c r="B5" s="6">
        <v>44591.0</v>
      </c>
      <c r="C5" s="7">
        <v>4.0</v>
      </c>
      <c r="D5" s="7">
        <v>2022.0</v>
      </c>
      <c r="E5" s="11">
        <v>26491.99</v>
      </c>
      <c r="F5" s="7">
        <v>28833.0</v>
      </c>
      <c r="G5" s="7">
        <v>48471.0</v>
      </c>
      <c r="H5" s="7">
        <f t="shared" si="1"/>
        <v>77304</v>
      </c>
      <c r="I5" s="11">
        <v>642.68</v>
      </c>
      <c r="J5" s="7">
        <v>10636.0</v>
      </c>
      <c r="K5" s="9">
        <f t="shared" si="2"/>
        <v>0.06042497179</v>
      </c>
      <c r="L5" s="7">
        <v>8809.0</v>
      </c>
      <c r="M5" s="11">
        <v>13363.5</v>
      </c>
      <c r="N5" s="7">
        <v>20154.0</v>
      </c>
      <c r="O5" s="9">
        <f t="shared" si="3"/>
        <v>0.6630693659</v>
      </c>
      <c r="P5" s="7">
        <v>14333.0</v>
      </c>
      <c r="Q5" s="11">
        <v>11723.77</v>
      </c>
      <c r="R5" s="7">
        <v>9516057.0</v>
      </c>
      <c r="S5" s="9">
        <f t="shared" si="4"/>
        <v>1.231998715</v>
      </c>
      <c r="T5" s="7">
        <v>25329.0</v>
      </c>
      <c r="U5" s="11">
        <v>762.04</v>
      </c>
      <c r="V5" s="7">
        <v>7821.0</v>
      </c>
      <c r="W5" s="12">
        <f t="shared" si="5"/>
        <v>0.0974351106</v>
      </c>
      <c r="X5" s="10">
        <v>735.0</v>
      </c>
      <c r="Y5" s="11">
        <v>0.0</v>
      </c>
      <c r="Z5" s="7">
        <v>0.0</v>
      </c>
      <c r="AA5" s="12" t="str">
        <f t="shared" si="6"/>
        <v>-</v>
      </c>
      <c r="AB5" s="10">
        <v>0.0</v>
      </c>
    </row>
    <row r="6" ht="12.0" customHeight="1">
      <c r="A6" s="6">
        <v>44592.0</v>
      </c>
      <c r="B6" s="6">
        <v>44598.0</v>
      </c>
      <c r="C6" s="7">
        <v>5.0</v>
      </c>
      <c r="D6" s="7">
        <v>2022.0</v>
      </c>
      <c r="E6" s="11">
        <v>32119.31</v>
      </c>
      <c r="F6" s="7">
        <v>36341.0</v>
      </c>
      <c r="G6" s="7">
        <v>55637.0</v>
      </c>
      <c r="H6" s="7">
        <f t="shared" si="1"/>
        <v>91978</v>
      </c>
      <c r="I6" s="11">
        <v>871.73</v>
      </c>
      <c r="J6" s="7">
        <v>13873.0</v>
      </c>
      <c r="K6" s="9">
        <f t="shared" si="2"/>
        <v>0.06283644489</v>
      </c>
      <c r="L6" s="7">
        <v>11085.0</v>
      </c>
      <c r="M6" s="11">
        <v>15452.82</v>
      </c>
      <c r="N6" s="7">
        <v>20135.0</v>
      </c>
      <c r="O6" s="9">
        <f t="shared" si="3"/>
        <v>0.7674606407</v>
      </c>
      <c r="P6" s="7">
        <v>15993.0</v>
      </c>
      <c r="Q6" s="11">
        <v>15057.02</v>
      </c>
      <c r="R6" s="7">
        <v>1.2309091E7</v>
      </c>
      <c r="S6" s="9">
        <f t="shared" si="4"/>
        <v>1.223243861</v>
      </c>
      <c r="T6" s="7">
        <v>28559.0</v>
      </c>
      <c r="U6" s="11">
        <v>737.74</v>
      </c>
      <c r="V6" s="7">
        <v>8938.0</v>
      </c>
      <c r="W6" s="12">
        <f t="shared" si="5"/>
        <v>0.08253971806</v>
      </c>
      <c r="X6" s="10">
        <v>1056.0</v>
      </c>
      <c r="Y6" s="11">
        <v>0.0</v>
      </c>
      <c r="Z6" s="7">
        <v>0.0</v>
      </c>
      <c r="AA6" s="12" t="str">
        <f t="shared" si="6"/>
        <v>-</v>
      </c>
      <c r="AB6" s="10">
        <v>0.0</v>
      </c>
    </row>
    <row r="7" ht="12.0" customHeight="1">
      <c r="A7" s="6">
        <v>44599.0</v>
      </c>
      <c r="B7" s="6">
        <v>44605.0</v>
      </c>
      <c r="C7" s="7">
        <v>6.0</v>
      </c>
      <c r="D7" s="7">
        <v>2022.0</v>
      </c>
      <c r="E7" s="11">
        <v>29020.83</v>
      </c>
      <c r="F7" s="7">
        <v>39340.0</v>
      </c>
      <c r="G7" s="7">
        <v>47588.0</v>
      </c>
      <c r="H7" s="7">
        <f t="shared" si="1"/>
        <v>86928</v>
      </c>
      <c r="I7" s="11">
        <v>1063.79</v>
      </c>
      <c r="J7" s="7">
        <v>15709.0</v>
      </c>
      <c r="K7" s="9">
        <f t="shared" si="2"/>
        <v>0.06771850532</v>
      </c>
      <c r="L7" s="7">
        <v>12447.0</v>
      </c>
      <c r="M7" s="11">
        <v>16767.51</v>
      </c>
      <c r="N7" s="7">
        <v>22485.0</v>
      </c>
      <c r="O7" s="9">
        <f t="shared" si="3"/>
        <v>0.7457198132</v>
      </c>
      <c r="P7" s="7">
        <v>17009.0</v>
      </c>
      <c r="Q7" s="11">
        <v>10457.3</v>
      </c>
      <c r="R7" s="7">
        <v>8021515.0</v>
      </c>
      <c r="S7" s="9">
        <f t="shared" si="4"/>
        <v>1.303656479</v>
      </c>
      <c r="T7" s="7">
        <v>18132.0</v>
      </c>
      <c r="U7" s="11">
        <v>732.23</v>
      </c>
      <c r="V7" s="7">
        <v>11590.0</v>
      </c>
      <c r="W7" s="12">
        <f t="shared" si="5"/>
        <v>0.06317773943</v>
      </c>
      <c r="X7" s="10">
        <v>1193.0</v>
      </c>
      <c r="Y7" s="11">
        <v>0.0</v>
      </c>
      <c r="Z7" s="7">
        <v>0.0</v>
      </c>
      <c r="AA7" s="12" t="str">
        <f t="shared" si="6"/>
        <v>-</v>
      </c>
      <c r="AB7" s="10">
        <v>0.0</v>
      </c>
    </row>
    <row r="8" ht="12.0" customHeight="1">
      <c r="A8" s="6">
        <v>44606.0</v>
      </c>
      <c r="B8" s="6">
        <v>44612.0</v>
      </c>
      <c r="C8" s="7">
        <v>7.0</v>
      </c>
      <c r="D8" s="7">
        <v>2022.0</v>
      </c>
      <c r="E8" s="11">
        <v>28996.22</v>
      </c>
      <c r="F8" s="7">
        <v>39371.0</v>
      </c>
      <c r="G8" s="7">
        <v>54182.0</v>
      </c>
      <c r="H8" s="7">
        <f t="shared" si="1"/>
        <v>93553</v>
      </c>
      <c r="I8" s="11">
        <v>1038.92</v>
      </c>
      <c r="J8" s="7">
        <v>15175.0</v>
      </c>
      <c r="K8" s="9">
        <f t="shared" si="2"/>
        <v>0.06846260297</v>
      </c>
      <c r="L8" s="7">
        <v>12082.0</v>
      </c>
      <c r="M8" s="11">
        <v>16712.16</v>
      </c>
      <c r="N8" s="7">
        <v>24638.0</v>
      </c>
      <c r="O8" s="9">
        <f t="shared" si="3"/>
        <v>0.6783083042</v>
      </c>
      <c r="P8" s="7">
        <v>19524.0</v>
      </c>
      <c r="Q8" s="11">
        <v>10581.61</v>
      </c>
      <c r="R8" s="7">
        <v>8107215.0</v>
      </c>
      <c r="S8" s="9">
        <f t="shared" si="4"/>
        <v>1.305209002</v>
      </c>
      <c r="T8" s="7">
        <v>22576.0</v>
      </c>
      <c r="U8" s="11">
        <v>663.53</v>
      </c>
      <c r="V8" s="7">
        <v>10779.0</v>
      </c>
      <c r="W8" s="12">
        <f t="shared" si="5"/>
        <v>0.06155765841</v>
      </c>
      <c r="X8" s="10">
        <v>1122.0</v>
      </c>
      <c r="Y8" s="11">
        <v>0.0</v>
      </c>
      <c r="Z8" s="7">
        <v>0.0</v>
      </c>
      <c r="AA8" s="12" t="str">
        <f t="shared" si="6"/>
        <v>-</v>
      </c>
      <c r="AB8" s="10">
        <v>0.0</v>
      </c>
    </row>
    <row r="9" ht="12.0" customHeight="1">
      <c r="A9" s="6">
        <v>44613.0</v>
      </c>
      <c r="B9" s="6">
        <v>44619.0</v>
      </c>
      <c r="C9" s="7">
        <v>8.0</v>
      </c>
      <c r="D9" s="7">
        <v>2022.0</v>
      </c>
      <c r="E9" s="11">
        <v>29805.51</v>
      </c>
      <c r="F9" s="7">
        <v>34725.0</v>
      </c>
      <c r="G9" s="7">
        <v>56567.0</v>
      </c>
      <c r="H9" s="7">
        <f t="shared" si="1"/>
        <v>91292</v>
      </c>
      <c r="I9" s="11">
        <v>781.93</v>
      </c>
      <c r="J9" s="7">
        <v>13543.0</v>
      </c>
      <c r="K9" s="9">
        <f t="shared" si="2"/>
        <v>0.05773683822</v>
      </c>
      <c r="L9" s="7">
        <v>11725.0</v>
      </c>
      <c r="M9" s="11">
        <v>13444.06</v>
      </c>
      <c r="N9" s="7">
        <v>20765.0</v>
      </c>
      <c r="O9" s="9">
        <f t="shared" si="3"/>
        <v>0.6474384782</v>
      </c>
      <c r="P9" s="7">
        <v>17020.0</v>
      </c>
      <c r="Q9" s="11">
        <v>14879.24</v>
      </c>
      <c r="R9" s="7">
        <v>1.072902E7</v>
      </c>
      <c r="S9" s="9">
        <f t="shared" si="4"/>
        <v>1.386821909</v>
      </c>
      <c r="T9" s="7">
        <v>27822.0</v>
      </c>
      <c r="U9" s="11">
        <v>700.28</v>
      </c>
      <c r="V9" s="7">
        <v>11288.0</v>
      </c>
      <c r="W9" s="12">
        <f t="shared" si="5"/>
        <v>0.06203756201</v>
      </c>
      <c r="X9" s="10">
        <v>1144.0</v>
      </c>
      <c r="Y9" s="11">
        <v>0.0</v>
      </c>
      <c r="Z9" s="7">
        <v>0.0</v>
      </c>
      <c r="AA9" s="12" t="str">
        <f t="shared" si="6"/>
        <v>-</v>
      </c>
      <c r="AB9" s="10">
        <v>0.0</v>
      </c>
    </row>
    <row r="10" ht="12.0" customHeight="1">
      <c r="A10" s="6">
        <v>44620.0</v>
      </c>
      <c r="B10" s="6">
        <v>44626.0</v>
      </c>
      <c r="C10" s="7">
        <v>9.0</v>
      </c>
      <c r="D10" s="7">
        <v>2022.0</v>
      </c>
      <c r="E10" s="11">
        <v>36273.16</v>
      </c>
      <c r="F10" s="7">
        <v>32179.0</v>
      </c>
      <c r="G10" s="7">
        <v>59630.0</v>
      </c>
      <c r="H10" s="7">
        <f t="shared" si="1"/>
        <v>91809</v>
      </c>
      <c r="I10" s="11">
        <v>840.78</v>
      </c>
      <c r="J10" s="7">
        <v>13599.0</v>
      </c>
      <c r="K10" s="9">
        <f t="shared" si="2"/>
        <v>0.0618266049</v>
      </c>
      <c r="L10" s="7">
        <v>11607.0</v>
      </c>
      <c r="M10" s="11">
        <v>17223.14</v>
      </c>
      <c r="N10" s="7">
        <v>23021.0</v>
      </c>
      <c r="O10" s="9">
        <f t="shared" si="3"/>
        <v>0.7481490813</v>
      </c>
      <c r="P10" s="7">
        <v>18614.0</v>
      </c>
      <c r="Q10" s="11">
        <v>17867.3</v>
      </c>
      <c r="R10" s="7">
        <v>1.1764769E7</v>
      </c>
      <c r="S10" s="9">
        <f t="shared" si="4"/>
        <v>1.518712352</v>
      </c>
      <c r="T10" s="7">
        <v>29409.0</v>
      </c>
      <c r="U10" s="11">
        <v>341.94</v>
      </c>
      <c r="V10" s="7">
        <v>5657.0</v>
      </c>
      <c r="W10" s="12">
        <f t="shared" si="5"/>
        <v>0.06044546579</v>
      </c>
      <c r="X10" s="10">
        <v>563.0</v>
      </c>
      <c r="Y10" s="11">
        <v>0.0</v>
      </c>
      <c r="Z10" s="7">
        <v>0.0</v>
      </c>
      <c r="AA10" s="12" t="str">
        <f t="shared" si="6"/>
        <v>-</v>
      </c>
      <c r="AB10" s="10">
        <v>0.0</v>
      </c>
    </row>
    <row r="11" ht="12.0" customHeight="1">
      <c r="A11" s="6">
        <v>44627.0</v>
      </c>
      <c r="B11" s="6">
        <v>44633.0</v>
      </c>
      <c r="C11" s="7">
        <v>10.0</v>
      </c>
      <c r="D11" s="7">
        <v>2022.0</v>
      </c>
      <c r="E11" s="11">
        <v>41809.53999999999</v>
      </c>
      <c r="F11" s="7">
        <v>36247.0</v>
      </c>
      <c r="G11" s="7">
        <v>59727.0</v>
      </c>
      <c r="H11" s="7">
        <f t="shared" si="1"/>
        <v>95974</v>
      </c>
      <c r="I11" s="11">
        <v>876.69</v>
      </c>
      <c r="J11" s="7">
        <v>14568.0</v>
      </c>
      <c r="K11" s="9">
        <f t="shared" si="2"/>
        <v>0.0601791598</v>
      </c>
      <c r="L11" s="7">
        <v>12454.0</v>
      </c>
      <c r="M11" s="11">
        <v>20697.76</v>
      </c>
      <c r="N11" s="7">
        <v>24825.0</v>
      </c>
      <c r="O11" s="9">
        <f t="shared" si="3"/>
        <v>0.8337466264</v>
      </c>
      <c r="P11" s="7">
        <v>20378.0</v>
      </c>
      <c r="Q11" s="11">
        <v>20235.09</v>
      </c>
      <c r="R11" s="7">
        <v>1.2361751E7</v>
      </c>
      <c r="S11" s="9">
        <f t="shared" si="4"/>
        <v>1.636911308</v>
      </c>
      <c r="T11" s="7">
        <v>26895.0</v>
      </c>
      <c r="U11" s="11">
        <v>0.0</v>
      </c>
      <c r="V11" s="7">
        <v>0.0</v>
      </c>
      <c r="W11" s="12" t="str">
        <f t="shared" si="5"/>
        <v>-</v>
      </c>
      <c r="X11" s="10">
        <v>23.0</v>
      </c>
      <c r="Y11" s="11">
        <v>0.0</v>
      </c>
      <c r="Z11" s="7">
        <v>0.0</v>
      </c>
      <c r="AA11" s="12" t="str">
        <f t="shared" si="6"/>
        <v>-</v>
      </c>
      <c r="AB11" s="10">
        <v>0.0</v>
      </c>
    </row>
    <row r="12" ht="12.0" customHeight="1">
      <c r="A12" s="6">
        <v>44634.0</v>
      </c>
      <c r="B12" s="6">
        <v>44640.0</v>
      </c>
      <c r="C12" s="7">
        <v>11.0</v>
      </c>
      <c r="D12" s="7">
        <v>2022.0</v>
      </c>
      <c r="E12" s="11">
        <v>41287.71</v>
      </c>
      <c r="F12" s="7">
        <v>47306.0</v>
      </c>
      <c r="G12" s="7">
        <v>35239.0</v>
      </c>
      <c r="H12" s="7">
        <f t="shared" si="1"/>
        <v>82545</v>
      </c>
      <c r="I12" s="11">
        <v>1100.12</v>
      </c>
      <c r="J12" s="7">
        <v>20528.0</v>
      </c>
      <c r="K12" s="9">
        <f t="shared" si="2"/>
        <v>0.05359119252</v>
      </c>
      <c r="L12" s="7">
        <v>10891.0</v>
      </c>
      <c r="M12" s="11">
        <v>20825.27</v>
      </c>
      <c r="N12" s="7">
        <v>25260.0</v>
      </c>
      <c r="O12" s="9">
        <f t="shared" si="3"/>
        <v>0.8244366587</v>
      </c>
      <c r="P12" s="7">
        <v>12559.0</v>
      </c>
      <c r="Q12" s="11">
        <v>19362.32</v>
      </c>
      <c r="R12" s="7">
        <v>1.1329717E7</v>
      </c>
      <c r="S12" s="9">
        <f t="shared" si="4"/>
        <v>1.708985317</v>
      </c>
      <c r="T12" s="7">
        <v>11789.0</v>
      </c>
      <c r="U12" s="11">
        <v>0.0</v>
      </c>
      <c r="V12" s="7">
        <v>0.0</v>
      </c>
      <c r="W12" s="12" t="str">
        <f t="shared" si="5"/>
        <v>-</v>
      </c>
      <c r="X12" s="10">
        <v>22.0</v>
      </c>
      <c r="Y12" s="11">
        <v>0.0</v>
      </c>
      <c r="Z12" s="7">
        <v>0.0</v>
      </c>
      <c r="AA12" s="12" t="str">
        <f t="shared" si="6"/>
        <v>-</v>
      </c>
      <c r="AB12" s="10">
        <v>0.0</v>
      </c>
    </row>
    <row r="13" ht="12.0" customHeight="1">
      <c r="A13" s="6">
        <v>44641.0</v>
      </c>
      <c r="B13" s="6">
        <v>44647.0</v>
      </c>
      <c r="C13" s="7">
        <v>12.0</v>
      </c>
      <c r="D13" s="7">
        <v>2022.0</v>
      </c>
      <c r="E13" s="11">
        <v>41584.67999999999</v>
      </c>
      <c r="F13" s="7">
        <v>48380.0</v>
      </c>
      <c r="G13" s="7">
        <v>57908.0</v>
      </c>
      <c r="H13" s="7">
        <f t="shared" si="1"/>
        <v>106288</v>
      </c>
      <c r="I13" s="11">
        <v>1077.83</v>
      </c>
      <c r="J13" s="7">
        <v>20617.0</v>
      </c>
      <c r="K13" s="9">
        <f t="shared" si="2"/>
        <v>0.05227870204</v>
      </c>
      <c r="L13" s="7">
        <v>17236.0</v>
      </c>
      <c r="M13" s="11">
        <v>20834.87</v>
      </c>
      <c r="N13" s="7">
        <v>27100.0</v>
      </c>
      <c r="O13" s="9">
        <f t="shared" si="3"/>
        <v>0.7688143911</v>
      </c>
      <c r="P13" s="7">
        <v>21317.0</v>
      </c>
      <c r="Q13" s="11">
        <v>19671.98</v>
      </c>
      <c r="R13" s="7">
        <v>1.0500335E7</v>
      </c>
      <c r="S13" s="9">
        <f t="shared" si="4"/>
        <v>1.873462132</v>
      </c>
      <c r="T13" s="7">
        <v>19355.0</v>
      </c>
      <c r="U13" s="11">
        <v>0.0</v>
      </c>
      <c r="V13" s="7">
        <v>0.0</v>
      </c>
      <c r="W13" s="12" t="str">
        <f t="shared" si="5"/>
        <v>-</v>
      </c>
      <c r="X13" s="10">
        <v>31.0</v>
      </c>
      <c r="Y13" s="11">
        <v>0.0</v>
      </c>
      <c r="Z13" s="7">
        <v>0.0</v>
      </c>
      <c r="AA13" s="12" t="str">
        <f t="shared" si="6"/>
        <v>-</v>
      </c>
      <c r="AB13" s="10">
        <v>0.0</v>
      </c>
    </row>
    <row r="14" ht="12.0" customHeight="1">
      <c r="A14" s="6">
        <v>44648.0</v>
      </c>
      <c r="B14" s="6">
        <v>44654.0</v>
      </c>
      <c r="C14" s="7">
        <v>13.0</v>
      </c>
      <c r="D14" s="7">
        <v>2022.0</v>
      </c>
      <c r="E14" s="11">
        <v>52025.12</v>
      </c>
      <c r="F14" s="7">
        <v>57575.0</v>
      </c>
      <c r="G14" s="7">
        <v>70617.0</v>
      </c>
      <c r="H14" s="7">
        <f t="shared" si="1"/>
        <v>128192</v>
      </c>
      <c r="I14" s="11">
        <v>1538.4</v>
      </c>
      <c r="J14" s="7">
        <v>23996.0</v>
      </c>
      <c r="K14" s="9">
        <f t="shared" si="2"/>
        <v>0.06411068511</v>
      </c>
      <c r="L14" s="7">
        <v>19489.0</v>
      </c>
      <c r="M14" s="11">
        <v>27640.45</v>
      </c>
      <c r="N14" s="7">
        <v>36290.0</v>
      </c>
      <c r="O14" s="9">
        <f t="shared" si="3"/>
        <v>0.7616547258</v>
      </c>
      <c r="P14" s="7">
        <v>28556.0</v>
      </c>
      <c r="Q14" s="11">
        <v>22846.27</v>
      </c>
      <c r="R14" s="7">
        <v>1.2623567E7</v>
      </c>
      <c r="S14" s="9">
        <f t="shared" si="4"/>
        <v>1.809810967</v>
      </c>
      <c r="T14" s="7">
        <v>22572.0</v>
      </c>
      <c r="U14" s="11">
        <v>0.0</v>
      </c>
      <c r="V14" s="7">
        <v>0.0</v>
      </c>
      <c r="W14" s="12" t="str">
        <f t="shared" si="5"/>
        <v>-</v>
      </c>
      <c r="X14" s="10">
        <v>17.0</v>
      </c>
      <c r="Y14" s="11">
        <v>0.0</v>
      </c>
      <c r="Z14" s="7">
        <v>0.0</v>
      </c>
      <c r="AA14" s="12" t="str">
        <f t="shared" si="6"/>
        <v>-</v>
      </c>
      <c r="AB14" s="10">
        <v>0.0</v>
      </c>
    </row>
    <row r="15" ht="12.0" customHeight="1">
      <c r="A15" s="6">
        <v>44655.0</v>
      </c>
      <c r="B15" s="6">
        <v>44661.0</v>
      </c>
      <c r="C15" s="7">
        <v>14.0</v>
      </c>
      <c r="D15" s="7">
        <v>2022.0</v>
      </c>
      <c r="E15" s="11">
        <v>53560.57000000001</v>
      </c>
      <c r="F15" s="7">
        <v>63294.0</v>
      </c>
      <c r="G15" s="7">
        <v>74920.0</v>
      </c>
      <c r="H15" s="7">
        <f t="shared" si="1"/>
        <v>138214</v>
      </c>
      <c r="I15" s="11">
        <v>1758.68</v>
      </c>
      <c r="J15" s="7">
        <v>26795.0</v>
      </c>
      <c r="K15" s="9">
        <f t="shared" si="2"/>
        <v>0.06563463333</v>
      </c>
      <c r="L15" s="7">
        <v>22760.0</v>
      </c>
      <c r="M15" s="11">
        <v>27113.38</v>
      </c>
      <c r="N15" s="7">
        <v>35340.0</v>
      </c>
      <c r="O15" s="9">
        <f t="shared" si="3"/>
        <v>0.7672150538</v>
      </c>
      <c r="P15" s="7">
        <v>27214.0</v>
      </c>
      <c r="Q15" s="11">
        <v>24688.51</v>
      </c>
      <c r="R15" s="7">
        <v>1.4961722E7</v>
      </c>
      <c r="S15" s="9">
        <f t="shared" si="4"/>
        <v>1.650111531</v>
      </c>
      <c r="T15" s="7">
        <v>24946.0</v>
      </c>
      <c r="U15" s="11">
        <v>0.0</v>
      </c>
      <c r="V15" s="7">
        <v>0.0</v>
      </c>
      <c r="W15" s="12" t="str">
        <f t="shared" si="5"/>
        <v>-</v>
      </c>
      <c r="X15" s="10">
        <v>20.0</v>
      </c>
      <c r="Y15" s="11">
        <v>0.0</v>
      </c>
      <c r="Z15" s="7">
        <v>0.0</v>
      </c>
      <c r="AA15" s="12" t="str">
        <f t="shared" si="6"/>
        <v>-</v>
      </c>
      <c r="AB15" s="10">
        <v>0.0</v>
      </c>
    </row>
    <row r="16" ht="12.0" customHeight="1">
      <c r="A16" s="6">
        <v>44662.0</v>
      </c>
      <c r="B16" s="6">
        <v>44668.0</v>
      </c>
      <c r="C16" s="7">
        <v>15.0</v>
      </c>
      <c r="D16" s="7">
        <v>2022.0</v>
      </c>
      <c r="E16" s="11">
        <v>47795.12</v>
      </c>
      <c r="F16" s="7">
        <v>57835.0</v>
      </c>
      <c r="G16" s="7">
        <v>73292.0</v>
      </c>
      <c r="H16" s="7">
        <f t="shared" si="1"/>
        <v>131127</v>
      </c>
      <c r="I16" s="11">
        <v>1809.08</v>
      </c>
      <c r="J16" s="7">
        <v>27113.0</v>
      </c>
      <c r="K16" s="9">
        <f t="shared" si="2"/>
        <v>0.06672371187</v>
      </c>
      <c r="L16" s="7">
        <v>22777.0</v>
      </c>
      <c r="M16" s="11">
        <v>26495.95</v>
      </c>
      <c r="N16" s="7">
        <v>32554.0</v>
      </c>
      <c r="O16" s="9">
        <f t="shared" si="3"/>
        <v>0.8139076611</v>
      </c>
      <c r="P16" s="7">
        <v>26028.0</v>
      </c>
      <c r="Q16" s="11">
        <v>19490.09</v>
      </c>
      <c r="R16" s="7">
        <v>1.2424634E7</v>
      </c>
      <c r="S16" s="9">
        <f t="shared" si="4"/>
        <v>1.568665121</v>
      </c>
      <c r="T16" s="7">
        <v>24487.0</v>
      </c>
      <c r="U16" s="11">
        <v>0.0</v>
      </c>
      <c r="V16" s="7">
        <v>0.0</v>
      </c>
      <c r="W16" s="12" t="str">
        <f t="shared" si="5"/>
        <v>-</v>
      </c>
      <c r="X16" s="10">
        <v>3.0</v>
      </c>
      <c r="Y16" s="11">
        <v>0.0</v>
      </c>
      <c r="Z16" s="7">
        <v>0.0</v>
      </c>
      <c r="AA16" s="12" t="str">
        <f t="shared" si="6"/>
        <v>-</v>
      </c>
      <c r="AB16" s="10">
        <v>0.0</v>
      </c>
    </row>
    <row r="17" ht="12.0" customHeight="1">
      <c r="A17" s="6">
        <v>44669.0</v>
      </c>
      <c r="B17" s="6">
        <v>44675.0</v>
      </c>
      <c r="C17" s="7">
        <v>16.0</v>
      </c>
      <c r="D17" s="7">
        <v>2022.0</v>
      </c>
      <c r="E17" s="11">
        <v>39137.35</v>
      </c>
      <c r="F17" s="7">
        <v>64939.0</v>
      </c>
      <c r="G17" s="7">
        <v>74910.0</v>
      </c>
      <c r="H17" s="7">
        <f t="shared" si="1"/>
        <v>139849</v>
      </c>
      <c r="I17" s="11">
        <v>1952.52</v>
      </c>
      <c r="J17" s="7">
        <v>32804.0</v>
      </c>
      <c r="K17" s="9">
        <f t="shared" si="2"/>
        <v>0.05952079015</v>
      </c>
      <c r="L17" s="7">
        <v>27595.0</v>
      </c>
      <c r="M17" s="11">
        <v>23050.44</v>
      </c>
      <c r="N17" s="7">
        <v>33524.0</v>
      </c>
      <c r="O17" s="9">
        <f t="shared" si="3"/>
        <v>0.687580241</v>
      </c>
      <c r="P17" s="7">
        <v>26343.0</v>
      </c>
      <c r="Q17" s="11">
        <v>14134.39</v>
      </c>
      <c r="R17" s="7">
        <v>9943281.0</v>
      </c>
      <c r="S17" s="9">
        <f t="shared" si="4"/>
        <v>1.421501615</v>
      </c>
      <c r="T17" s="7">
        <v>20972.0</v>
      </c>
      <c r="U17" s="11">
        <v>0.0</v>
      </c>
      <c r="V17" s="7">
        <v>0.0</v>
      </c>
      <c r="W17" s="12" t="str">
        <f t="shared" si="5"/>
        <v>-</v>
      </c>
      <c r="X17" s="10">
        <v>1.0</v>
      </c>
      <c r="Y17" s="11">
        <v>0.0</v>
      </c>
      <c r="Z17" s="7">
        <v>0.0</v>
      </c>
      <c r="AA17" s="12" t="str">
        <f t="shared" si="6"/>
        <v>-</v>
      </c>
      <c r="AB17" s="10">
        <v>0.0</v>
      </c>
    </row>
    <row r="18" ht="12.0" customHeight="1">
      <c r="A18" s="6">
        <v>44676.0</v>
      </c>
      <c r="B18" s="6">
        <v>44682.0</v>
      </c>
      <c r="C18" s="7">
        <v>17.0</v>
      </c>
      <c r="D18" s="7">
        <v>2022.0</v>
      </c>
      <c r="E18" s="11">
        <v>42812.94</v>
      </c>
      <c r="F18" s="7">
        <v>69194.0</v>
      </c>
      <c r="G18" s="7">
        <v>76051.0</v>
      </c>
      <c r="H18" s="7">
        <f t="shared" si="1"/>
        <v>145245</v>
      </c>
      <c r="I18" s="11">
        <v>2017.57</v>
      </c>
      <c r="J18" s="7">
        <v>31082.0</v>
      </c>
      <c r="K18" s="9">
        <f t="shared" si="2"/>
        <v>0.06491120263</v>
      </c>
      <c r="L18" s="7">
        <v>26674.0</v>
      </c>
      <c r="M18" s="11">
        <v>23914.06</v>
      </c>
      <c r="N18" s="7">
        <v>33927.0</v>
      </c>
      <c r="O18" s="9">
        <f t="shared" si="3"/>
        <v>0.7048680992</v>
      </c>
      <c r="P18" s="7">
        <v>27404.0</v>
      </c>
      <c r="Q18" s="11">
        <v>16881.31</v>
      </c>
      <c r="R18" s="7">
        <v>1.0693203E7</v>
      </c>
      <c r="S18" s="9">
        <f t="shared" si="4"/>
        <v>1.578695364</v>
      </c>
      <c r="T18" s="7">
        <v>21973.0</v>
      </c>
      <c r="U18" s="11">
        <v>0.0</v>
      </c>
      <c r="V18" s="7">
        <v>0.0</v>
      </c>
      <c r="W18" s="12" t="str">
        <f t="shared" si="5"/>
        <v>-</v>
      </c>
      <c r="X18" s="10">
        <v>2.0</v>
      </c>
      <c r="Y18" s="11">
        <v>0.0</v>
      </c>
      <c r="Z18" s="7">
        <v>0.0</v>
      </c>
      <c r="AA18" s="12" t="str">
        <f t="shared" si="6"/>
        <v>-</v>
      </c>
      <c r="AB18" s="10">
        <v>0.0</v>
      </c>
    </row>
    <row r="19" ht="12.0" customHeight="1">
      <c r="A19" s="6">
        <v>44683.0</v>
      </c>
      <c r="B19" s="6">
        <v>44689.0</v>
      </c>
      <c r="C19" s="7">
        <v>18.0</v>
      </c>
      <c r="D19" s="7">
        <v>2022.0</v>
      </c>
      <c r="E19" s="11">
        <v>57603.39999999999</v>
      </c>
      <c r="F19" s="7">
        <v>70422.0</v>
      </c>
      <c r="G19" s="7">
        <v>76812.0</v>
      </c>
      <c r="H19" s="7">
        <f t="shared" si="1"/>
        <v>147234</v>
      </c>
      <c r="I19" s="11">
        <v>2305.5</v>
      </c>
      <c r="J19" s="7">
        <v>30564.0</v>
      </c>
      <c r="K19" s="9">
        <f t="shared" si="2"/>
        <v>0.07543188064</v>
      </c>
      <c r="L19" s="7">
        <v>25694.0</v>
      </c>
      <c r="M19" s="11">
        <v>34849.09</v>
      </c>
      <c r="N19" s="7">
        <v>37954.0</v>
      </c>
      <c r="O19" s="9">
        <f t="shared" si="3"/>
        <v>0.9181928124</v>
      </c>
      <c r="P19" s="7">
        <v>30371.0</v>
      </c>
      <c r="Q19" s="11">
        <v>20448.81</v>
      </c>
      <c r="R19" s="7">
        <v>1.2120637E7</v>
      </c>
      <c r="S19" s="9">
        <f t="shared" si="4"/>
        <v>1.687106874</v>
      </c>
      <c r="T19" s="7">
        <v>20747.0</v>
      </c>
      <c r="U19" s="11">
        <v>0.0</v>
      </c>
      <c r="V19" s="7">
        <v>0.0</v>
      </c>
      <c r="W19" s="12" t="str">
        <f t="shared" si="5"/>
        <v>-</v>
      </c>
      <c r="X19" s="10">
        <v>1.0</v>
      </c>
      <c r="Y19" s="11">
        <v>0.0</v>
      </c>
      <c r="Z19" s="7">
        <v>0.0</v>
      </c>
      <c r="AA19" s="12" t="str">
        <f t="shared" si="6"/>
        <v>-</v>
      </c>
      <c r="AB19" s="10">
        <v>0.0</v>
      </c>
    </row>
    <row r="20" ht="12.0" customHeight="1">
      <c r="A20" s="6">
        <v>44690.0</v>
      </c>
      <c r="B20" s="6">
        <v>44696.0</v>
      </c>
      <c r="C20" s="7">
        <v>19.0</v>
      </c>
      <c r="D20" s="7">
        <v>2022.0</v>
      </c>
      <c r="E20" s="11">
        <v>48750.31</v>
      </c>
      <c r="F20" s="7">
        <v>61760.0</v>
      </c>
      <c r="G20" s="7">
        <v>69713.0</v>
      </c>
      <c r="H20" s="7">
        <f t="shared" si="1"/>
        <v>131473</v>
      </c>
      <c r="I20" s="11">
        <v>2348.24</v>
      </c>
      <c r="J20" s="7">
        <v>30761.0</v>
      </c>
      <c r="K20" s="9">
        <f t="shared" si="2"/>
        <v>0.07633822047</v>
      </c>
      <c r="L20" s="7">
        <v>25940.0</v>
      </c>
      <c r="M20" s="11">
        <v>31993.63</v>
      </c>
      <c r="N20" s="7">
        <v>33906.0</v>
      </c>
      <c r="O20" s="9">
        <f t="shared" si="3"/>
        <v>0.9435978883</v>
      </c>
      <c r="P20" s="7">
        <v>27142.0</v>
      </c>
      <c r="Q20" s="11">
        <v>14408.44</v>
      </c>
      <c r="R20" s="7">
        <v>9157875.0</v>
      </c>
      <c r="S20" s="9">
        <f t="shared" si="4"/>
        <v>1.573338793</v>
      </c>
      <c r="T20" s="7">
        <v>16631.0</v>
      </c>
      <c r="U20" s="11">
        <v>0.0</v>
      </c>
      <c r="V20" s="7">
        <v>0.0</v>
      </c>
      <c r="W20" s="12" t="str">
        <f t="shared" si="5"/>
        <v>-</v>
      </c>
      <c r="X20" s="10">
        <v>3.0</v>
      </c>
      <c r="Y20" s="11">
        <v>0.0</v>
      </c>
      <c r="Z20" s="7">
        <v>0.0</v>
      </c>
      <c r="AA20" s="12" t="str">
        <f t="shared" si="6"/>
        <v>-</v>
      </c>
      <c r="AB20" s="10">
        <v>0.0</v>
      </c>
    </row>
    <row r="21" ht="12.0" customHeight="1">
      <c r="A21" s="6">
        <v>44697.0</v>
      </c>
      <c r="B21" s="6">
        <v>44703.0</v>
      </c>
      <c r="C21" s="7">
        <v>20.0</v>
      </c>
      <c r="D21" s="7">
        <v>2022.0</v>
      </c>
      <c r="E21" s="11">
        <v>52447.12</v>
      </c>
      <c r="F21" s="7">
        <v>64669.0</v>
      </c>
      <c r="G21" s="7">
        <v>76019.0</v>
      </c>
      <c r="H21" s="7">
        <f t="shared" si="1"/>
        <v>140688</v>
      </c>
      <c r="I21" s="11">
        <v>2551.04</v>
      </c>
      <c r="J21" s="7">
        <v>32375.0</v>
      </c>
      <c r="K21" s="9">
        <f t="shared" si="2"/>
        <v>0.07879660232</v>
      </c>
      <c r="L21" s="7">
        <v>26975.0</v>
      </c>
      <c r="M21" s="11">
        <v>35855.76</v>
      </c>
      <c r="N21" s="7">
        <v>39134.0</v>
      </c>
      <c r="O21" s="9">
        <f t="shared" si="3"/>
        <v>0.9162303879</v>
      </c>
      <c r="P21" s="7">
        <v>31032.0</v>
      </c>
      <c r="Q21" s="11">
        <v>14040.32</v>
      </c>
      <c r="R21" s="7">
        <v>9182132.0</v>
      </c>
      <c r="S21" s="9">
        <f t="shared" si="4"/>
        <v>1.529091501</v>
      </c>
      <c r="T21" s="7">
        <v>17976.0</v>
      </c>
      <c r="U21" s="11">
        <v>0.0</v>
      </c>
      <c r="V21" s="7">
        <v>0.0</v>
      </c>
      <c r="W21" s="12" t="str">
        <f t="shared" si="5"/>
        <v>-</v>
      </c>
      <c r="X21" s="10">
        <v>1.0</v>
      </c>
      <c r="Y21" s="11">
        <v>0.0</v>
      </c>
      <c r="Z21" s="7">
        <v>0.0</v>
      </c>
      <c r="AA21" s="12" t="str">
        <f t="shared" si="6"/>
        <v>-</v>
      </c>
      <c r="AB21" s="10">
        <v>36.0</v>
      </c>
    </row>
    <row r="22" ht="12.0" customHeight="1">
      <c r="A22" s="6">
        <v>44704.0</v>
      </c>
      <c r="B22" s="6">
        <v>44710.0</v>
      </c>
      <c r="C22" s="7">
        <v>21.0</v>
      </c>
      <c r="D22" s="7">
        <v>2022.0</v>
      </c>
      <c r="E22" s="11">
        <v>57708.06</v>
      </c>
      <c r="F22" s="7">
        <v>66172.0</v>
      </c>
      <c r="G22" s="7">
        <v>78481.0</v>
      </c>
      <c r="H22" s="7">
        <f t="shared" si="1"/>
        <v>144653</v>
      </c>
      <c r="I22" s="11">
        <v>2430.33</v>
      </c>
      <c r="J22" s="7">
        <v>32026.0</v>
      </c>
      <c r="K22" s="9">
        <f t="shared" si="2"/>
        <v>0.075886155</v>
      </c>
      <c r="L22" s="7">
        <v>26064.0</v>
      </c>
      <c r="M22" s="11">
        <v>40203.95</v>
      </c>
      <c r="N22" s="7">
        <v>41330.0</v>
      </c>
      <c r="O22" s="9">
        <f t="shared" si="3"/>
        <v>0.9727546576</v>
      </c>
      <c r="P22" s="7">
        <v>33141.0</v>
      </c>
      <c r="Q22" s="11">
        <v>15073.78</v>
      </c>
      <c r="R22" s="7">
        <v>1.0154417E7</v>
      </c>
      <c r="S22" s="9">
        <f t="shared" si="4"/>
        <v>1.484455484</v>
      </c>
      <c r="T22" s="7">
        <v>19232.0</v>
      </c>
      <c r="U22" s="11">
        <v>0.0</v>
      </c>
      <c r="V22" s="7">
        <v>0.0</v>
      </c>
      <c r="W22" s="12" t="str">
        <f t="shared" si="5"/>
        <v>-</v>
      </c>
      <c r="X22" s="10">
        <v>1.0</v>
      </c>
      <c r="Y22" s="11">
        <v>0.0</v>
      </c>
      <c r="Z22" s="7">
        <v>0.0</v>
      </c>
      <c r="AA22" s="12" t="str">
        <f t="shared" si="6"/>
        <v>-</v>
      </c>
      <c r="AB22" s="10">
        <v>44.0</v>
      </c>
    </row>
    <row r="23" ht="12.0" customHeight="1">
      <c r="A23" s="6">
        <v>44711.0</v>
      </c>
      <c r="B23" s="6">
        <v>44717.0</v>
      </c>
      <c r="C23" s="7">
        <v>22.0</v>
      </c>
      <c r="D23" s="7">
        <v>2022.0</v>
      </c>
      <c r="E23" s="11">
        <v>51650.77</v>
      </c>
      <c r="F23" s="7">
        <v>68320.0</v>
      </c>
      <c r="G23" s="7">
        <v>80082.0</v>
      </c>
      <c r="H23" s="7">
        <f t="shared" si="1"/>
        <v>148402</v>
      </c>
      <c r="I23" s="11">
        <v>2496.78</v>
      </c>
      <c r="J23" s="7">
        <v>31615.0</v>
      </c>
      <c r="K23" s="9">
        <f t="shared" si="2"/>
        <v>0.0789745374</v>
      </c>
      <c r="L23" s="7">
        <v>26388.0</v>
      </c>
      <c r="M23" s="11">
        <v>34061.25</v>
      </c>
      <c r="N23" s="7">
        <v>40381.0</v>
      </c>
      <c r="O23" s="9">
        <f t="shared" si="3"/>
        <v>0.8434969416</v>
      </c>
      <c r="P23" s="7">
        <v>31646.0</v>
      </c>
      <c r="Q23" s="11">
        <v>15092.74</v>
      </c>
      <c r="R23" s="7">
        <v>1.1104834E7</v>
      </c>
      <c r="S23" s="9">
        <f t="shared" si="4"/>
        <v>1.359114418</v>
      </c>
      <c r="T23" s="7">
        <v>22007.0</v>
      </c>
      <c r="U23" s="11">
        <v>0.0</v>
      </c>
      <c r="V23" s="7">
        <v>0.0</v>
      </c>
      <c r="W23" s="12" t="str">
        <f t="shared" si="5"/>
        <v>-</v>
      </c>
      <c r="X23" s="10">
        <v>1.0</v>
      </c>
      <c r="Y23" s="11">
        <v>0.0</v>
      </c>
      <c r="Z23" s="7">
        <v>0.0</v>
      </c>
      <c r="AA23" s="12" t="str">
        <f t="shared" si="6"/>
        <v>-</v>
      </c>
      <c r="AB23" s="10">
        <v>41.0</v>
      </c>
    </row>
    <row r="24" ht="12.0" customHeight="1">
      <c r="A24" s="6">
        <v>44718.0</v>
      </c>
      <c r="B24" s="6">
        <v>44724.0</v>
      </c>
      <c r="C24" s="7">
        <v>23.0</v>
      </c>
      <c r="D24" s="7">
        <v>2022.0</v>
      </c>
      <c r="E24" s="11">
        <v>57297.31</v>
      </c>
      <c r="F24" s="7">
        <v>71756.0</v>
      </c>
      <c r="G24" s="7">
        <v>80680.0</v>
      </c>
      <c r="H24" s="7">
        <f t="shared" si="1"/>
        <v>152436</v>
      </c>
      <c r="I24" s="11">
        <v>3471.44</v>
      </c>
      <c r="J24" s="7">
        <v>32822.0</v>
      </c>
      <c r="K24" s="9">
        <f t="shared" si="2"/>
        <v>0.105765645</v>
      </c>
      <c r="L24" s="7">
        <v>25957.0</v>
      </c>
      <c r="M24" s="11">
        <v>37058.31</v>
      </c>
      <c r="N24" s="7">
        <v>42939.0</v>
      </c>
      <c r="O24" s="9">
        <f t="shared" si="3"/>
        <v>0.8630454831</v>
      </c>
      <c r="P24" s="7">
        <v>31961.0</v>
      </c>
      <c r="Q24" s="11">
        <v>16767.56</v>
      </c>
      <c r="R24" s="7">
        <v>1.1188712E7</v>
      </c>
      <c r="S24" s="9">
        <f t="shared" si="4"/>
        <v>1.49861396</v>
      </c>
      <c r="T24" s="7">
        <v>22751.0</v>
      </c>
      <c r="U24" s="11">
        <v>0.0</v>
      </c>
      <c r="V24" s="7">
        <v>0.0</v>
      </c>
      <c r="W24" s="12" t="str">
        <f t="shared" si="5"/>
        <v>-</v>
      </c>
      <c r="X24" s="10">
        <v>0.0</v>
      </c>
      <c r="Y24" s="11">
        <v>0.0</v>
      </c>
      <c r="Z24" s="7">
        <v>0.0</v>
      </c>
      <c r="AA24" s="12" t="str">
        <f t="shared" si="6"/>
        <v>-</v>
      </c>
      <c r="AB24" s="10">
        <v>11.0</v>
      </c>
    </row>
    <row r="25" ht="12.0" customHeight="1">
      <c r="A25" s="6">
        <v>44725.0</v>
      </c>
      <c r="B25" s="6">
        <v>44731.0</v>
      </c>
      <c r="C25" s="7">
        <v>24.0</v>
      </c>
      <c r="D25" s="7">
        <v>2022.0</v>
      </c>
      <c r="E25" s="11">
        <v>51048.71</v>
      </c>
      <c r="F25" s="7">
        <v>69841.0</v>
      </c>
      <c r="G25" s="7">
        <v>80868.0</v>
      </c>
      <c r="H25" s="7">
        <f t="shared" si="1"/>
        <v>150709</v>
      </c>
      <c r="I25" s="11">
        <v>3477.09</v>
      </c>
      <c r="J25" s="7">
        <v>32561.0</v>
      </c>
      <c r="K25" s="9">
        <f t="shared" si="2"/>
        <v>0.1067869537</v>
      </c>
      <c r="L25" s="7">
        <v>26064.0</v>
      </c>
      <c r="M25" s="11">
        <v>31673.69</v>
      </c>
      <c r="N25" s="7">
        <v>39616.0</v>
      </c>
      <c r="O25" s="9">
        <f t="shared" si="3"/>
        <v>0.7995176191</v>
      </c>
      <c r="P25" s="7">
        <v>30792.0</v>
      </c>
      <c r="Q25" s="11">
        <v>15897.93</v>
      </c>
      <c r="R25" s="7">
        <v>1.055374E7</v>
      </c>
      <c r="S25" s="9">
        <f t="shared" si="4"/>
        <v>1.506378781</v>
      </c>
      <c r="T25" s="7">
        <v>24012.0</v>
      </c>
      <c r="U25" s="11">
        <v>0.0</v>
      </c>
      <c r="V25" s="7">
        <v>0.0</v>
      </c>
      <c r="W25" s="12" t="str">
        <f t="shared" si="5"/>
        <v>-</v>
      </c>
      <c r="X25" s="10">
        <v>0.0</v>
      </c>
      <c r="Y25" s="11">
        <v>0.0</v>
      </c>
      <c r="Z25" s="7">
        <v>0.0</v>
      </c>
      <c r="AA25" s="12" t="str">
        <f t="shared" si="6"/>
        <v>-</v>
      </c>
      <c r="AB25" s="10">
        <v>0.0</v>
      </c>
    </row>
    <row r="26" ht="12.0" customHeight="1">
      <c r="A26" s="6">
        <v>44732.0</v>
      </c>
      <c r="B26" s="6">
        <v>44738.0</v>
      </c>
      <c r="C26" s="7">
        <v>25.0</v>
      </c>
      <c r="D26" s="7">
        <v>2022.0</v>
      </c>
      <c r="E26" s="11">
        <v>50673.12</v>
      </c>
      <c r="F26" s="7">
        <v>77895.0</v>
      </c>
      <c r="G26" s="7">
        <v>86437.0</v>
      </c>
      <c r="H26" s="7">
        <f t="shared" si="1"/>
        <v>164332</v>
      </c>
      <c r="I26" s="11">
        <v>3639.15</v>
      </c>
      <c r="J26" s="7">
        <v>36299.0</v>
      </c>
      <c r="K26" s="9">
        <f t="shared" si="2"/>
        <v>0.100254828</v>
      </c>
      <c r="L26" s="7">
        <v>29318.0</v>
      </c>
      <c r="M26" s="11">
        <v>30199.41</v>
      </c>
      <c r="N26" s="7">
        <v>37591.0</v>
      </c>
      <c r="O26" s="9">
        <f t="shared" si="3"/>
        <v>0.8033680934</v>
      </c>
      <c r="P26" s="7">
        <v>29679.0</v>
      </c>
      <c r="Q26" s="11">
        <v>16834.56</v>
      </c>
      <c r="R26" s="7">
        <v>1.112717E7</v>
      </c>
      <c r="S26" s="9">
        <f t="shared" si="4"/>
        <v>1.512923771</v>
      </c>
      <c r="T26" s="7">
        <v>27440.0</v>
      </c>
      <c r="U26" s="11">
        <v>0.0</v>
      </c>
      <c r="V26" s="7">
        <v>0.0</v>
      </c>
      <c r="W26" s="12" t="str">
        <f t="shared" si="5"/>
        <v>-</v>
      </c>
      <c r="X26" s="10">
        <v>1.0</v>
      </c>
      <c r="Y26" s="11">
        <v>0.0</v>
      </c>
      <c r="Z26" s="7">
        <v>0.0</v>
      </c>
      <c r="AA26" s="12" t="str">
        <f t="shared" si="6"/>
        <v>-</v>
      </c>
      <c r="AB26" s="10">
        <v>0.0</v>
      </c>
    </row>
    <row r="27" ht="12.0" customHeight="1">
      <c r="A27" s="6">
        <v>44739.0</v>
      </c>
      <c r="B27" s="6">
        <v>44745.0</v>
      </c>
      <c r="C27" s="7">
        <v>26.0</v>
      </c>
      <c r="D27" s="7">
        <v>2022.0</v>
      </c>
      <c r="E27" s="11">
        <v>43972.05</v>
      </c>
      <c r="F27" s="7">
        <v>82662.0</v>
      </c>
      <c r="G27" s="7">
        <v>81758.0</v>
      </c>
      <c r="H27" s="7">
        <f t="shared" si="1"/>
        <v>164420</v>
      </c>
      <c r="I27" s="11">
        <v>3835.87</v>
      </c>
      <c r="J27" s="7">
        <v>39090.0</v>
      </c>
      <c r="K27" s="9">
        <f t="shared" si="2"/>
        <v>0.09812918905</v>
      </c>
      <c r="L27" s="7">
        <v>31147.0</v>
      </c>
      <c r="M27" s="11">
        <v>25940.88</v>
      </c>
      <c r="N27" s="7">
        <v>34382.0</v>
      </c>
      <c r="O27" s="9">
        <f t="shared" si="3"/>
        <v>0.7544901402</v>
      </c>
      <c r="P27" s="7">
        <v>25537.0</v>
      </c>
      <c r="Q27" s="11">
        <v>14195.3</v>
      </c>
      <c r="R27" s="7">
        <v>9460604.0</v>
      </c>
      <c r="S27" s="9">
        <f t="shared" si="4"/>
        <v>1.500464452</v>
      </c>
      <c r="T27" s="7">
        <v>25074.0</v>
      </c>
      <c r="U27" s="11">
        <v>0.0</v>
      </c>
      <c r="V27" s="7">
        <v>0.0</v>
      </c>
      <c r="W27" s="12" t="str">
        <f t="shared" si="5"/>
        <v>-</v>
      </c>
      <c r="X27" s="10">
        <v>0.0</v>
      </c>
      <c r="Y27" s="11">
        <v>0.0</v>
      </c>
      <c r="Z27" s="7">
        <v>0.0</v>
      </c>
      <c r="AA27" s="12" t="str">
        <f t="shared" si="6"/>
        <v>-</v>
      </c>
      <c r="AB27" s="10">
        <v>0.0</v>
      </c>
    </row>
    <row r="28" ht="12.0" customHeight="1">
      <c r="A28" s="6">
        <v>44746.0</v>
      </c>
      <c r="B28" s="6">
        <v>44752.0</v>
      </c>
      <c r="C28" s="7">
        <v>27.0</v>
      </c>
      <c r="D28" s="7">
        <v>2022.0</v>
      </c>
      <c r="E28" s="11">
        <v>36278.43</v>
      </c>
      <c r="F28" s="7">
        <v>75014.0</v>
      </c>
      <c r="G28" s="7">
        <v>77273.0</v>
      </c>
      <c r="H28" s="7">
        <f t="shared" si="1"/>
        <v>152287</v>
      </c>
      <c r="I28" s="11">
        <v>3528.3</v>
      </c>
      <c r="J28" s="7">
        <v>34528.0</v>
      </c>
      <c r="K28" s="9">
        <f t="shared" si="2"/>
        <v>0.1021866311</v>
      </c>
      <c r="L28" s="7">
        <v>28319.0</v>
      </c>
      <c r="M28" s="11">
        <v>19660.08</v>
      </c>
      <c r="N28" s="7">
        <v>26432.0</v>
      </c>
      <c r="O28" s="9">
        <f t="shared" si="3"/>
        <v>0.7437984262</v>
      </c>
      <c r="P28" s="7">
        <v>20566.0</v>
      </c>
      <c r="Q28" s="11">
        <v>13090.05</v>
      </c>
      <c r="R28" s="7">
        <v>9257036.0</v>
      </c>
      <c r="S28" s="9">
        <f t="shared" si="4"/>
        <v>1.414064934</v>
      </c>
      <c r="T28" s="7">
        <v>28388.0</v>
      </c>
      <c r="U28" s="11">
        <v>0.0</v>
      </c>
      <c r="V28" s="7">
        <v>0.0</v>
      </c>
      <c r="W28" s="12" t="str">
        <f t="shared" si="5"/>
        <v>-</v>
      </c>
      <c r="X28" s="10">
        <v>0.0</v>
      </c>
      <c r="Y28" s="11">
        <v>0.0</v>
      </c>
      <c r="Z28" s="7">
        <v>0.0</v>
      </c>
      <c r="AA28" s="12" t="str">
        <f t="shared" si="6"/>
        <v>-</v>
      </c>
      <c r="AB28" s="10">
        <v>0.0</v>
      </c>
    </row>
    <row r="29" ht="12.0" customHeight="1">
      <c r="A29" s="6">
        <v>44753.0</v>
      </c>
      <c r="B29" s="6">
        <v>44759.0</v>
      </c>
      <c r="C29" s="7">
        <v>28.0</v>
      </c>
      <c r="D29" s="7">
        <v>2022.0</v>
      </c>
      <c r="E29" s="11">
        <v>32524.02</v>
      </c>
      <c r="F29" s="7">
        <v>74485.0</v>
      </c>
      <c r="G29" s="7">
        <v>75752.0</v>
      </c>
      <c r="H29" s="7">
        <f t="shared" si="1"/>
        <v>150237</v>
      </c>
      <c r="I29" s="11">
        <v>5219.43</v>
      </c>
      <c r="J29" s="7">
        <v>34013.0</v>
      </c>
      <c r="K29" s="9">
        <f t="shared" si="2"/>
        <v>0.1534539735</v>
      </c>
      <c r="L29" s="7">
        <v>28939.0</v>
      </c>
      <c r="M29" s="11">
        <v>15475.42</v>
      </c>
      <c r="N29" s="7">
        <v>22808.0</v>
      </c>
      <c r="O29" s="9">
        <f t="shared" si="3"/>
        <v>0.6785084181</v>
      </c>
      <c r="P29" s="7">
        <v>17992.0</v>
      </c>
      <c r="Q29" s="11">
        <v>11829.17</v>
      </c>
      <c r="R29" s="7">
        <v>9185394.0</v>
      </c>
      <c r="S29" s="9">
        <f t="shared" si="4"/>
        <v>1.287823908</v>
      </c>
      <c r="T29" s="7">
        <v>28821.0</v>
      </c>
      <c r="U29" s="11">
        <v>0.0</v>
      </c>
      <c r="V29" s="7">
        <v>0.0</v>
      </c>
      <c r="W29" s="12" t="str">
        <f t="shared" si="5"/>
        <v>-</v>
      </c>
      <c r="X29" s="10">
        <v>0.0</v>
      </c>
      <c r="Y29" s="11">
        <v>0.0</v>
      </c>
      <c r="Z29" s="7">
        <v>0.0</v>
      </c>
      <c r="AA29" s="12" t="str">
        <f t="shared" si="6"/>
        <v>-</v>
      </c>
      <c r="AB29" s="10">
        <v>0.0</v>
      </c>
    </row>
    <row r="30" ht="12.0" customHeight="1">
      <c r="A30" s="6">
        <v>44760.0</v>
      </c>
      <c r="B30" s="6">
        <v>44766.0</v>
      </c>
      <c r="C30" s="7">
        <v>29.0</v>
      </c>
      <c r="D30" s="7">
        <v>2022.0</v>
      </c>
      <c r="E30" s="11">
        <v>33016.77</v>
      </c>
      <c r="F30" s="7">
        <v>75334.0</v>
      </c>
      <c r="G30" s="7">
        <v>71497.0</v>
      </c>
      <c r="H30" s="7">
        <f t="shared" si="1"/>
        <v>146831</v>
      </c>
      <c r="I30" s="11">
        <v>3524.11</v>
      </c>
      <c r="J30" s="7">
        <v>33427.0</v>
      </c>
      <c r="K30" s="9">
        <f t="shared" si="2"/>
        <v>0.10542705</v>
      </c>
      <c r="L30" s="7">
        <v>26776.0</v>
      </c>
      <c r="M30" s="11">
        <v>17362.94</v>
      </c>
      <c r="N30" s="7">
        <v>23974.0</v>
      </c>
      <c r="O30" s="9">
        <f t="shared" si="3"/>
        <v>0.7242404271</v>
      </c>
      <c r="P30" s="7">
        <v>17890.0</v>
      </c>
      <c r="Q30" s="11">
        <v>12129.72</v>
      </c>
      <c r="R30" s="7">
        <v>9175154.0</v>
      </c>
      <c r="S30" s="9">
        <f t="shared" si="4"/>
        <v>1.322018137</v>
      </c>
      <c r="T30" s="7">
        <v>26831.0</v>
      </c>
      <c r="U30" s="11">
        <v>0.0</v>
      </c>
      <c r="V30" s="7">
        <v>0.0</v>
      </c>
      <c r="W30" s="12" t="str">
        <f t="shared" si="5"/>
        <v>-</v>
      </c>
      <c r="X30" s="10">
        <v>0.0</v>
      </c>
      <c r="Y30" s="11">
        <v>0.0</v>
      </c>
      <c r="Z30" s="7">
        <v>0.0</v>
      </c>
      <c r="AA30" s="12" t="str">
        <f t="shared" si="6"/>
        <v>-</v>
      </c>
      <c r="AB30" s="10">
        <v>0.0</v>
      </c>
    </row>
    <row r="31" ht="12.0" customHeight="1">
      <c r="A31" s="6">
        <v>44767.0</v>
      </c>
      <c r="B31" s="6">
        <v>44773.0</v>
      </c>
      <c r="C31" s="7">
        <v>30.0</v>
      </c>
      <c r="D31" s="7">
        <v>2022.0</v>
      </c>
      <c r="E31" s="11">
        <v>27262.42</v>
      </c>
      <c r="F31" s="7">
        <v>77875.0</v>
      </c>
      <c r="G31" s="7">
        <v>71657.0</v>
      </c>
      <c r="H31" s="7">
        <f t="shared" si="1"/>
        <v>149532</v>
      </c>
      <c r="I31" s="11">
        <v>3215.09</v>
      </c>
      <c r="J31" s="7">
        <v>33779.0</v>
      </c>
      <c r="K31" s="9">
        <f t="shared" si="2"/>
        <v>0.09518014151</v>
      </c>
      <c r="L31" s="7">
        <v>27312.0</v>
      </c>
      <c r="M31" s="11">
        <v>13582.38</v>
      </c>
      <c r="N31" s="7">
        <v>23421.0</v>
      </c>
      <c r="O31" s="9">
        <f t="shared" si="3"/>
        <v>0.5799231459</v>
      </c>
      <c r="P31" s="7">
        <v>18433.0</v>
      </c>
      <c r="Q31" s="11">
        <v>10464.95</v>
      </c>
      <c r="R31" s="7">
        <v>8247579.0</v>
      </c>
      <c r="S31" s="9">
        <f t="shared" si="4"/>
        <v>1.268851138</v>
      </c>
      <c r="T31" s="7">
        <v>25912.0</v>
      </c>
      <c r="U31" s="11">
        <v>0.0</v>
      </c>
      <c r="V31" s="7">
        <v>0.0</v>
      </c>
      <c r="W31" s="12" t="str">
        <f t="shared" si="5"/>
        <v>-</v>
      </c>
      <c r="X31" s="10">
        <v>0.0</v>
      </c>
      <c r="Y31" s="11">
        <v>0.0</v>
      </c>
      <c r="Z31" s="7">
        <v>0.0</v>
      </c>
      <c r="AA31" s="12" t="str">
        <f t="shared" si="6"/>
        <v>-</v>
      </c>
      <c r="AB31" s="10">
        <v>0.0</v>
      </c>
    </row>
    <row r="32" ht="12.0" customHeight="1">
      <c r="A32" s="6">
        <v>44774.0</v>
      </c>
      <c r="B32" s="6">
        <v>44780.0</v>
      </c>
      <c r="C32" s="7">
        <v>31.0</v>
      </c>
      <c r="D32" s="7">
        <v>2022.0</v>
      </c>
      <c r="E32" s="11">
        <v>12606.12</v>
      </c>
      <c r="F32" s="7">
        <v>79771.0</v>
      </c>
      <c r="G32" s="7">
        <v>52733.0</v>
      </c>
      <c r="H32" s="7">
        <f t="shared" si="1"/>
        <v>132504</v>
      </c>
      <c r="I32" s="11">
        <v>3018.78</v>
      </c>
      <c r="J32" s="7">
        <v>35473.0</v>
      </c>
      <c r="K32" s="9">
        <f t="shared" si="2"/>
        <v>0.08510078088</v>
      </c>
      <c r="L32" s="7">
        <v>28326.0</v>
      </c>
      <c r="M32" s="11">
        <v>5892.29</v>
      </c>
      <c r="N32" s="7">
        <v>10573.0</v>
      </c>
      <c r="O32" s="9">
        <f t="shared" si="3"/>
        <v>0.5572959425</v>
      </c>
      <c r="P32" s="7">
        <v>8720.0</v>
      </c>
      <c r="Q32" s="11">
        <v>3695.05</v>
      </c>
      <c r="R32" s="7">
        <v>3570852.0</v>
      </c>
      <c r="S32" s="9">
        <f t="shared" si="4"/>
        <v>1.034781055</v>
      </c>
      <c r="T32" s="7">
        <v>15687.0</v>
      </c>
      <c r="U32" s="11">
        <v>0.0</v>
      </c>
      <c r="V32" s="7">
        <v>0.0</v>
      </c>
      <c r="W32" s="12" t="str">
        <f t="shared" si="5"/>
        <v>-</v>
      </c>
      <c r="X32" s="10">
        <v>0.0</v>
      </c>
      <c r="Y32" s="11">
        <v>0.0</v>
      </c>
      <c r="Z32" s="7">
        <v>0.0</v>
      </c>
      <c r="AA32" s="12" t="str">
        <f t="shared" si="6"/>
        <v>-</v>
      </c>
      <c r="AB32" s="10">
        <v>0.0</v>
      </c>
    </row>
    <row r="33" ht="12.0" customHeight="1">
      <c r="A33" s="6">
        <v>44781.0</v>
      </c>
      <c r="B33" s="6">
        <v>44787.0</v>
      </c>
      <c r="C33" s="7">
        <v>32.0</v>
      </c>
      <c r="D33" s="7">
        <v>2022.0</v>
      </c>
      <c r="E33" s="11">
        <v>10374.6</v>
      </c>
      <c r="F33" s="7">
        <v>76784.0</v>
      </c>
      <c r="G33" s="7">
        <v>46262.0</v>
      </c>
      <c r="H33" s="7">
        <f t="shared" si="1"/>
        <v>123046</v>
      </c>
      <c r="I33" s="11">
        <v>1999.82</v>
      </c>
      <c r="J33" s="7">
        <v>32239.0</v>
      </c>
      <c r="K33" s="9">
        <f t="shared" si="2"/>
        <v>0.06203108037</v>
      </c>
      <c r="L33" s="7">
        <v>25017.0</v>
      </c>
      <c r="M33" s="11">
        <v>5272.98</v>
      </c>
      <c r="N33" s="7">
        <v>10174.0</v>
      </c>
      <c r="O33" s="9">
        <f t="shared" si="3"/>
        <v>0.5182799292</v>
      </c>
      <c r="P33" s="7">
        <v>7894.0</v>
      </c>
      <c r="Q33" s="11">
        <v>3101.8</v>
      </c>
      <c r="R33" s="7">
        <v>3142385.0</v>
      </c>
      <c r="S33" s="9">
        <f t="shared" si="4"/>
        <v>0.9870846507</v>
      </c>
      <c r="T33" s="7">
        <v>13351.0</v>
      </c>
      <c r="U33" s="11">
        <v>0.0</v>
      </c>
      <c r="V33" s="7">
        <v>0.0</v>
      </c>
      <c r="W33" s="12" t="str">
        <f t="shared" si="5"/>
        <v>-</v>
      </c>
      <c r="X33" s="10">
        <v>0.0</v>
      </c>
      <c r="Y33" s="11">
        <v>0.0</v>
      </c>
      <c r="Z33" s="7">
        <v>0.0</v>
      </c>
      <c r="AA33" s="12" t="str">
        <f t="shared" si="6"/>
        <v>-</v>
      </c>
      <c r="AB33" s="10">
        <v>0.0</v>
      </c>
    </row>
    <row r="34" ht="12.0" customHeight="1">
      <c r="A34" s="6">
        <v>44788.0</v>
      </c>
      <c r="B34" s="6">
        <v>44794.0</v>
      </c>
      <c r="C34" s="7">
        <v>33.0</v>
      </c>
      <c r="D34" s="7">
        <v>2022.0</v>
      </c>
      <c r="E34" s="11">
        <v>7444.79</v>
      </c>
      <c r="F34" s="7">
        <v>77374.0</v>
      </c>
      <c r="G34" s="7">
        <v>38495.0</v>
      </c>
      <c r="H34" s="7">
        <f t="shared" si="1"/>
        <v>115869</v>
      </c>
      <c r="I34" s="11">
        <v>1442.46</v>
      </c>
      <c r="J34" s="7">
        <v>26263.0</v>
      </c>
      <c r="K34" s="9">
        <f t="shared" si="2"/>
        <v>0.05492365686</v>
      </c>
      <c r="L34" s="7">
        <v>20534.0</v>
      </c>
      <c r="M34" s="11">
        <v>3259.71</v>
      </c>
      <c r="N34" s="7">
        <v>7208.0</v>
      </c>
      <c r="O34" s="9">
        <f t="shared" si="3"/>
        <v>0.4522350166</v>
      </c>
      <c r="P34" s="7">
        <v>5990.0</v>
      </c>
      <c r="Q34" s="11">
        <v>2742.62</v>
      </c>
      <c r="R34" s="7">
        <v>3162525.0</v>
      </c>
      <c r="S34" s="9">
        <f t="shared" si="4"/>
        <v>0.867224765</v>
      </c>
      <c r="T34" s="7">
        <v>11971.0</v>
      </c>
      <c r="U34" s="11">
        <v>0.0</v>
      </c>
      <c r="V34" s="7">
        <v>0.0</v>
      </c>
      <c r="W34" s="12" t="str">
        <f t="shared" si="5"/>
        <v>-</v>
      </c>
      <c r="X34" s="10">
        <v>0.0</v>
      </c>
      <c r="Y34" s="11">
        <v>0.0</v>
      </c>
      <c r="Z34" s="7">
        <v>0.0</v>
      </c>
      <c r="AA34" s="12" t="str">
        <f t="shared" si="6"/>
        <v>-</v>
      </c>
      <c r="AB34" s="10">
        <v>0.0</v>
      </c>
    </row>
    <row r="35" ht="12.0" customHeight="1">
      <c r="A35" s="6">
        <v>44795.0</v>
      </c>
      <c r="B35" s="6">
        <v>44801.0</v>
      </c>
      <c r="C35" s="7">
        <v>34.0</v>
      </c>
      <c r="D35" s="7">
        <v>2022.0</v>
      </c>
      <c r="E35" s="11">
        <v>12414.0</v>
      </c>
      <c r="F35" s="7">
        <v>77616.0</v>
      </c>
      <c r="G35" s="7">
        <v>50275.0</v>
      </c>
      <c r="H35" s="7">
        <f t="shared" si="1"/>
        <v>127891</v>
      </c>
      <c r="I35" s="11">
        <v>1742.0</v>
      </c>
      <c r="J35" s="7">
        <v>29891.0</v>
      </c>
      <c r="K35" s="9">
        <f t="shared" si="2"/>
        <v>0.05827841156</v>
      </c>
      <c r="L35" s="7">
        <v>21815.0</v>
      </c>
      <c r="M35" s="11">
        <v>6453.48</v>
      </c>
      <c r="N35" s="7">
        <v>13836.0</v>
      </c>
      <c r="O35" s="9">
        <f t="shared" si="3"/>
        <v>0.4664267129</v>
      </c>
      <c r="P35" s="7">
        <v>11260.0</v>
      </c>
      <c r="Q35" s="11">
        <v>4218.52</v>
      </c>
      <c r="R35" s="7">
        <v>4444663.0</v>
      </c>
      <c r="S35" s="9">
        <f t="shared" si="4"/>
        <v>0.949120327</v>
      </c>
      <c r="T35" s="7">
        <v>17200.0</v>
      </c>
      <c r="U35" s="11">
        <v>0.0</v>
      </c>
      <c r="V35" s="7">
        <v>0.0</v>
      </c>
      <c r="W35" s="12" t="str">
        <f t="shared" si="5"/>
        <v>-</v>
      </c>
      <c r="X35" s="10">
        <v>0.0</v>
      </c>
      <c r="Y35" s="11">
        <v>0.0</v>
      </c>
      <c r="Z35" s="7">
        <v>0.0</v>
      </c>
      <c r="AA35" s="12" t="str">
        <f t="shared" si="6"/>
        <v>-</v>
      </c>
      <c r="AB35" s="10">
        <v>0.0</v>
      </c>
    </row>
    <row r="36" ht="12.0" customHeight="1">
      <c r="A36" s="6">
        <v>44802.0</v>
      </c>
      <c r="B36" s="6">
        <v>44808.0</v>
      </c>
      <c r="C36" s="7">
        <v>35.0</v>
      </c>
      <c r="D36" s="7">
        <v>2022.0</v>
      </c>
      <c r="E36" s="11">
        <v>16823.98</v>
      </c>
      <c r="F36" s="7">
        <v>66491.0</v>
      </c>
      <c r="G36" s="7">
        <v>59269.0</v>
      </c>
      <c r="H36" s="7">
        <f t="shared" si="1"/>
        <v>125760</v>
      </c>
      <c r="I36" s="11">
        <v>1642.34</v>
      </c>
      <c r="J36" s="7">
        <v>25371.0</v>
      </c>
      <c r="K36" s="9">
        <f t="shared" si="2"/>
        <v>0.06473296283</v>
      </c>
      <c r="L36" s="7">
        <v>19809.0</v>
      </c>
      <c r="M36" s="11">
        <v>8841.88</v>
      </c>
      <c r="N36" s="7">
        <v>16109.0</v>
      </c>
      <c r="O36" s="9">
        <f t="shared" si="3"/>
        <v>0.5488782668</v>
      </c>
      <c r="P36" s="7">
        <v>12799.0</v>
      </c>
      <c r="Q36" s="11">
        <v>6339.76</v>
      </c>
      <c r="R36" s="7">
        <v>6039003.0</v>
      </c>
      <c r="S36" s="9">
        <f t="shared" si="4"/>
        <v>1.049802426</v>
      </c>
      <c r="T36" s="7">
        <v>26661.0</v>
      </c>
      <c r="U36" s="11">
        <v>0.0</v>
      </c>
      <c r="V36" s="7">
        <v>0.0</v>
      </c>
      <c r="W36" s="12" t="str">
        <f t="shared" si="5"/>
        <v>-</v>
      </c>
      <c r="X36" s="10">
        <v>0.0</v>
      </c>
      <c r="Y36" s="11">
        <v>0.0</v>
      </c>
      <c r="Z36" s="7">
        <v>0.0</v>
      </c>
      <c r="AA36" s="12" t="str">
        <f t="shared" si="6"/>
        <v>-</v>
      </c>
      <c r="AB36" s="10">
        <v>0.0</v>
      </c>
    </row>
    <row r="37" ht="12.0" customHeight="1">
      <c r="A37" s="6">
        <v>44809.0</v>
      </c>
      <c r="B37" s="6">
        <v>44815.0</v>
      </c>
      <c r="C37" s="7">
        <v>36.0</v>
      </c>
      <c r="D37" s="7">
        <v>2022.0</v>
      </c>
      <c r="E37" s="11">
        <v>28821.72</v>
      </c>
      <c r="F37" s="7">
        <v>56999.0</v>
      </c>
      <c r="G37" s="7">
        <v>66558.0</v>
      </c>
      <c r="H37" s="7">
        <f t="shared" si="1"/>
        <v>123557</v>
      </c>
      <c r="I37" s="11">
        <v>1296.96</v>
      </c>
      <c r="J37" s="7">
        <v>21024.0</v>
      </c>
      <c r="K37" s="9">
        <f t="shared" si="2"/>
        <v>0.06168949772</v>
      </c>
      <c r="L37" s="7">
        <v>16325.0</v>
      </c>
      <c r="M37" s="11">
        <v>14927.38</v>
      </c>
      <c r="N37" s="7">
        <v>20180.0</v>
      </c>
      <c r="O37" s="9">
        <f t="shared" si="3"/>
        <v>0.7397115956</v>
      </c>
      <c r="P37" s="7">
        <v>15870.0</v>
      </c>
      <c r="Q37" s="11">
        <v>12597.38</v>
      </c>
      <c r="R37" s="7">
        <v>9507406.0</v>
      </c>
      <c r="S37" s="9">
        <f t="shared" si="4"/>
        <v>1.325007052</v>
      </c>
      <c r="T37" s="7">
        <v>34363.0</v>
      </c>
      <c r="U37" s="11">
        <v>0.0</v>
      </c>
      <c r="V37" s="7">
        <v>0.0</v>
      </c>
      <c r="W37" s="12" t="str">
        <f t="shared" si="5"/>
        <v>-</v>
      </c>
      <c r="X37" s="10">
        <v>0.0</v>
      </c>
      <c r="Y37" s="11">
        <v>0.0</v>
      </c>
      <c r="Z37" s="7">
        <v>0.0</v>
      </c>
      <c r="AA37" s="12" t="str">
        <f t="shared" si="6"/>
        <v>-</v>
      </c>
      <c r="AB37" s="10">
        <v>0.0</v>
      </c>
    </row>
    <row r="38" ht="12.0" customHeight="1">
      <c r="A38" s="6">
        <v>44816.0</v>
      </c>
      <c r="B38" s="6">
        <v>44822.0</v>
      </c>
      <c r="C38" s="7">
        <v>37.0</v>
      </c>
      <c r="D38" s="7">
        <v>2022.0</v>
      </c>
      <c r="E38" s="11">
        <v>36967.24000000001</v>
      </c>
      <c r="F38" s="7">
        <v>60579.0</v>
      </c>
      <c r="G38" s="7">
        <v>71908.0</v>
      </c>
      <c r="H38" s="7">
        <f t="shared" si="1"/>
        <v>132487</v>
      </c>
      <c r="I38" s="11">
        <v>1215.24</v>
      </c>
      <c r="J38" s="7">
        <v>22502.0</v>
      </c>
      <c r="K38" s="9">
        <f t="shared" si="2"/>
        <v>0.05400586615</v>
      </c>
      <c r="L38" s="7">
        <v>17459.0</v>
      </c>
      <c r="M38" s="11">
        <v>18359.87</v>
      </c>
      <c r="N38" s="7">
        <v>21483.0</v>
      </c>
      <c r="O38" s="9">
        <f t="shared" si="3"/>
        <v>0.8546231904</v>
      </c>
      <c r="P38" s="7">
        <v>17376.0</v>
      </c>
      <c r="Q38" s="11">
        <v>17392.13</v>
      </c>
      <c r="R38" s="7">
        <v>1.1362885E7</v>
      </c>
      <c r="S38" s="9">
        <f t="shared" si="4"/>
        <v>1.530608644</v>
      </c>
      <c r="T38" s="7">
        <v>37073.0</v>
      </c>
      <c r="U38" s="11">
        <v>0.0</v>
      </c>
      <c r="V38" s="7">
        <v>0.0</v>
      </c>
      <c r="W38" s="12" t="str">
        <f t="shared" si="5"/>
        <v>-</v>
      </c>
      <c r="X38" s="10">
        <v>2.0</v>
      </c>
      <c r="Y38" s="11">
        <v>0.0</v>
      </c>
      <c r="Z38" s="7">
        <v>0.0</v>
      </c>
      <c r="AA38" s="12" t="str">
        <f t="shared" si="6"/>
        <v>-</v>
      </c>
      <c r="AB38" s="10">
        <v>0.0</v>
      </c>
    </row>
    <row r="39" ht="12.0" customHeight="1">
      <c r="A39" s="6">
        <v>44823.0</v>
      </c>
      <c r="B39" s="6">
        <v>44829.0</v>
      </c>
      <c r="C39" s="7">
        <v>38.0</v>
      </c>
      <c r="D39" s="7">
        <v>2022.0</v>
      </c>
      <c r="E39" s="11">
        <v>37811.18</v>
      </c>
      <c r="F39" s="7">
        <v>55471.0</v>
      </c>
      <c r="G39" s="7">
        <v>65508.0</v>
      </c>
      <c r="H39" s="7">
        <f t="shared" si="1"/>
        <v>120979</v>
      </c>
      <c r="I39" s="11">
        <v>1071.09</v>
      </c>
      <c r="J39" s="7">
        <v>19490.0</v>
      </c>
      <c r="K39" s="9">
        <f t="shared" si="2"/>
        <v>0.05495587481</v>
      </c>
      <c r="L39" s="7">
        <v>15456.0</v>
      </c>
      <c r="M39" s="11">
        <v>18859.25</v>
      </c>
      <c r="N39" s="7">
        <v>20337.0</v>
      </c>
      <c r="O39" s="9">
        <f t="shared" si="3"/>
        <v>0.9273368737</v>
      </c>
      <c r="P39" s="7">
        <v>16782.0</v>
      </c>
      <c r="Q39" s="11">
        <v>17880.84</v>
      </c>
      <c r="R39" s="7">
        <v>1.1588087E7</v>
      </c>
      <c r="S39" s="9">
        <f t="shared" si="4"/>
        <v>1.543036396</v>
      </c>
      <c r="T39" s="7">
        <v>33270.0</v>
      </c>
      <c r="U39" s="11">
        <v>0.0</v>
      </c>
      <c r="V39" s="7">
        <v>0.0</v>
      </c>
      <c r="W39" s="12" t="str">
        <f t="shared" si="5"/>
        <v>-</v>
      </c>
      <c r="X39" s="10">
        <v>0.0</v>
      </c>
      <c r="Y39" s="11">
        <v>0.0</v>
      </c>
      <c r="Z39" s="7">
        <v>0.0</v>
      </c>
      <c r="AA39" s="12" t="str">
        <f t="shared" si="6"/>
        <v>-</v>
      </c>
      <c r="AB39" s="10">
        <v>0.0</v>
      </c>
    </row>
    <row r="40" ht="12.0" customHeight="1">
      <c r="A40" s="6">
        <v>44830.0</v>
      </c>
      <c r="B40" s="6">
        <v>44836.0</v>
      </c>
      <c r="C40" s="7">
        <v>39.0</v>
      </c>
      <c r="D40" s="7">
        <v>2022.0</v>
      </c>
      <c r="E40" s="11">
        <v>37635.59</v>
      </c>
      <c r="F40" s="7">
        <v>52017.0</v>
      </c>
      <c r="G40" s="7">
        <v>59835.0</v>
      </c>
      <c r="H40" s="7">
        <f t="shared" si="1"/>
        <v>111852</v>
      </c>
      <c r="I40" s="11">
        <v>921.1</v>
      </c>
      <c r="J40" s="7">
        <v>18202.0</v>
      </c>
      <c r="K40" s="9">
        <f t="shared" si="2"/>
        <v>0.05060432919</v>
      </c>
      <c r="L40" s="7">
        <v>13873.0</v>
      </c>
      <c r="M40" s="11">
        <v>18776.54</v>
      </c>
      <c r="N40" s="7">
        <v>19101.0</v>
      </c>
      <c r="O40" s="9">
        <f t="shared" si="3"/>
        <v>0.9830134548</v>
      </c>
      <c r="P40" s="7">
        <v>15051.0</v>
      </c>
      <c r="Q40" s="11">
        <v>17937.95</v>
      </c>
      <c r="R40" s="7">
        <v>1.1947729E7</v>
      </c>
      <c r="S40" s="9">
        <f t="shared" si="4"/>
        <v>1.501369005</v>
      </c>
      <c r="T40" s="7">
        <v>30911.0</v>
      </c>
      <c r="U40" s="11">
        <v>0.0</v>
      </c>
      <c r="V40" s="7">
        <v>0.0</v>
      </c>
      <c r="W40" s="12" t="str">
        <f t="shared" si="5"/>
        <v>-</v>
      </c>
      <c r="X40" s="10">
        <v>0.0</v>
      </c>
      <c r="Y40" s="11">
        <v>0.0</v>
      </c>
      <c r="Z40" s="7">
        <v>0.0</v>
      </c>
      <c r="AA40" s="12" t="str">
        <f t="shared" si="6"/>
        <v>-</v>
      </c>
      <c r="AB40" s="10">
        <v>0.0</v>
      </c>
    </row>
    <row r="41" ht="12.0" customHeight="1">
      <c r="A41" s="6">
        <v>44837.0</v>
      </c>
      <c r="B41" s="6">
        <v>44843.0</v>
      </c>
      <c r="C41" s="7">
        <v>40.0</v>
      </c>
      <c r="D41" s="7">
        <v>2022.0</v>
      </c>
      <c r="E41" s="11">
        <v>47839.03</v>
      </c>
      <c r="F41" s="7">
        <v>47693.0</v>
      </c>
      <c r="G41" s="7">
        <v>68300.0</v>
      </c>
      <c r="H41" s="7">
        <f t="shared" si="1"/>
        <v>115993</v>
      </c>
      <c r="I41" s="11">
        <v>1107.0</v>
      </c>
      <c r="J41" s="7">
        <v>18784.0</v>
      </c>
      <c r="K41" s="9">
        <f t="shared" si="2"/>
        <v>0.05893313458</v>
      </c>
      <c r="L41" s="7">
        <v>15013.0</v>
      </c>
      <c r="M41" s="11">
        <v>26442.79</v>
      </c>
      <c r="N41" s="7">
        <v>23963.0</v>
      </c>
      <c r="O41" s="9">
        <f t="shared" si="3"/>
        <v>1.103484121</v>
      </c>
      <c r="P41" s="7">
        <v>18837.0</v>
      </c>
      <c r="Q41" s="11">
        <v>20289.24</v>
      </c>
      <c r="R41" s="7">
        <v>1.3913503E7</v>
      </c>
      <c r="S41" s="9">
        <f t="shared" si="4"/>
        <v>1.458240962</v>
      </c>
      <c r="T41" s="7">
        <v>34445.0</v>
      </c>
      <c r="U41" s="11">
        <v>0.0</v>
      </c>
      <c r="V41" s="7">
        <v>0.0</v>
      </c>
      <c r="W41" s="12" t="str">
        <f t="shared" si="5"/>
        <v>-</v>
      </c>
      <c r="X41" s="10">
        <v>0.0</v>
      </c>
      <c r="Y41" s="11">
        <v>0.0</v>
      </c>
      <c r="Z41" s="7">
        <v>0.0</v>
      </c>
      <c r="AA41" s="12" t="str">
        <f t="shared" si="6"/>
        <v>-</v>
      </c>
      <c r="AB41" s="10">
        <v>5.0</v>
      </c>
    </row>
    <row r="42" ht="12.0" customHeight="1">
      <c r="A42" s="6">
        <v>44844.0</v>
      </c>
      <c r="B42" s="6">
        <v>44850.0</v>
      </c>
      <c r="C42" s="7">
        <v>41.0</v>
      </c>
      <c r="D42" s="7">
        <v>2022.0</v>
      </c>
      <c r="E42" s="11">
        <v>45252.64</v>
      </c>
      <c r="F42" s="7">
        <v>50950.0</v>
      </c>
      <c r="G42" s="7">
        <v>66258.0</v>
      </c>
      <c r="H42" s="7">
        <f t="shared" si="1"/>
        <v>117208</v>
      </c>
      <c r="I42" s="11">
        <v>1545.18</v>
      </c>
      <c r="J42" s="7">
        <v>18438.0</v>
      </c>
      <c r="K42" s="9">
        <f t="shared" si="2"/>
        <v>0.08380410023</v>
      </c>
      <c r="L42" s="7">
        <v>14431.0</v>
      </c>
      <c r="M42" s="11">
        <v>24264.34</v>
      </c>
      <c r="N42" s="7">
        <v>22744.0</v>
      </c>
      <c r="O42" s="9">
        <f t="shared" si="3"/>
        <v>1.066845762</v>
      </c>
      <c r="P42" s="7">
        <v>18828.0</v>
      </c>
      <c r="Q42" s="11">
        <v>19443.12</v>
      </c>
      <c r="R42" s="7">
        <v>1.3284253E7</v>
      </c>
      <c r="S42" s="9">
        <f t="shared" si="4"/>
        <v>1.463621628</v>
      </c>
      <c r="T42" s="7">
        <v>32999.0</v>
      </c>
      <c r="U42" s="11">
        <v>0.0</v>
      </c>
      <c r="V42" s="7">
        <v>0.0</v>
      </c>
      <c r="W42" s="12" t="str">
        <f t="shared" si="5"/>
        <v>-</v>
      </c>
      <c r="X42" s="10">
        <v>0.0</v>
      </c>
      <c r="Y42" s="11">
        <v>0.0</v>
      </c>
      <c r="Z42" s="7">
        <v>0.0</v>
      </c>
      <c r="AA42" s="12" t="str">
        <f t="shared" si="6"/>
        <v>-</v>
      </c>
      <c r="AB42" s="10">
        <v>0.0</v>
      </c>
    </row>
    <row r="43" ht="12.0" customHeight="1">
      <c r="A43" s="6">
        <v>44851.0</v>
      </c>
      <c r="B43" s="6">
        <v>44857.0</v>
      </c>
      <c r="C43" s="7">
        <v>42.0</v>
      </c>
      <c r="D43" s="7">
        <v>2022.0</v>
      </c>
      <c r="E43" s="11">
        <v>45946.14999999999</v>
      </c>
      <c r="F43" s="7">
        <v>49701.0</v>
      </c>
      <c r="G43" s="7">
        <v>63015.0</v>
      </c>
      <c r="H43" s="7">
        <f t="shared" si="1"/>
        <v>112716</v>
      </c>
      <c r="I43" s="11">
        <v>1937.2</v>
      </c>
      <c r="J43" s="7">
        <v>19306.0</v>
      </c>
      <c r="K43" s="9">
        <f t="shared" si="2"/>
        <v>0.1003418626</v>
      </c>
      <c r="L43" s="7">
        <v>15865.0</v>
      </c>
      <c r="M43" s="11">
        <v>24952.75</v>
      </c>
      <c r="N43" s="7">
        <v>21638.0</v>
      </c>
      <c r="O43" s="9">
        <f t="shared" si="3"/>
        <v>1.153191145</v>
      </c>
      <c r="P43" s="7">
        <v>17440.0</v>
      </c>
      <c r="Q43" s="11">
        <v>19056.2</v>
      </c>
      <c r="R43" s="7">
        <v>1.2104894E7</v>
      </c>
      <c r="S43" s="9">
        <f t="shared" si="4"/>
        <v>1.574255834</v>
      </c>
      <c r="T43" s="7">
        <v>29710.0</v>
      </c>
      <c r="U43" s="11">
        <v>0.0</v>
      </c>
      <c r="V43" s="7">
        <v>0.0</v>
      </c>
      <c r="W43" s="12" t="str">
        <f t="shared" si="5"/>
        <v>-</v>
      </c>
      <c r="X43" s="10">
        <v>5.0</v>
      </c>
      <c r="Y43" s="11">
        <v>0.0</v>
      </c>
      <c r="Z43" s="7">
        <v>0.0</v>
      </c>
      <c r="AA43" s="12" t="str">
        <f t="shared" si="6"/>
        <v>-</v>
      </c>
      <c r="AB43" s="10">
        <v>0.0</v>
      </c>
    </row>
    <row r="44" ht="12.0" customHeight="1">
      <c r="A44" s="6">
        <v>44858.0</v>
      </c>
      <c r="B44" s="6">
        <v>44864.0</v>
      </c>
      <c r="C44" s="7">
        <v>43.0</v>
      </c>
      <c r="D44" s="7">
        <v>2022.0</v>
      </c>
      <c r="E44" s="11">
        <v>43421.97</v>
      </c>
      <c r="F44" s="7">
        <v>52664.0</v>
      </c>
      <c r="G44" s="7">
        <v>65644.0</v>
      </c>
      <c r="H44" s="7">
        <f t="shared" si="1"/>
        <v>118308</v>
      </c>
      <c r="I44" s="11">
        <v>1738.36</v>
      </c>
      <c r="J44" s="7">
        <v>19357.0</v>
      </c>
      <c r="K44" s="9">
        <f t="shared" si="2"/>
        <v>0.08980523842</v>
      </c>
      <c r="L44" s="7">
        <v>15190.0</v>
      </c>
      <c r="M44" s="11">
        <v>22672.17</v>
      </c>
      <c r="N44" s="7">
        <v>20626.0</v>
      </c>
      <c r="O44" s="9">
        <f t="shared" si="3"/>
        <v>1.099203433</v>
      </c>
      <c r="P44" s="7">
        <v>17213.0</v>
      </c>
      <c r="Q44" s="11">
        <v>19011.44</v>
      </c>
      <c r="R44" s="7">
        <v>1.2134985E7</v>
      </c>
      <c r="S44" s="9">
        <f t="shared" si="4"/>
        <v>1.566663659</v>
      </c>
      <c r="T44" s="7">
        <v>33240.0</v>
      </c>
      <c r="U44" s="11">
        <v>0.0</v>
      </c>
      <c r="V44" s="7">
        <v>0.0</v>
      </c>
      <c r="W44" s="12" t="str">
        <f t="shared" si="5"/>
        <v>-</v>
      </c>
      <c r="X44" s="10">
        <v>0.0</v>
      </c>
      <c r="Y44" s="11">
        <v>0.0</v>
      </c>
      <c r="Z44" s="7">
        <v>0.0</v>
      </c>
      <c r="AA44" s="12" t="str">
        <f t="shared" si="6"/>
        <v>-</v>
      </c>
      <c r="AB44" s="10">
        <v>1.0</v>
      </c>
    </row>
    <row r="45" ht="12.0" customHeight="1">
      <c r="A45" s="6">
        <v>44865.0</v>
      </c>
      <c r="B45" s="6">
        <v>44871.0</v>
      </c>
      <c r="C45" s="7">
        <v>44.0</v>
      </c>
      <c r="D45" s="7">
        <v>2022.0</v>
      </c>
      <c r="E45" s="11">
        <v>47482.17</v>
      </c>
      <c r="F45" s="7">
        <v>55109.0</v>
      </c>
      <c r="G45" s="7">
        <v>70848.0</v>
      </c>
      <c r="H45" s="7">
        <f t="shared" si="1"/>
        <v>125957</v>
      </c>
      <c r="I45" s="11">
        <v>2323.74</v>
      </c>
      <c r="J45" s="7">
        <v>21462.0</v>
      </c>
      <c r="K45" s="9">
        <f t="shared" si="2"/>
        <v>0.1082722952</v>
      </c>
      <c r="L45" s="7">
        <v>16663.0</v>
      </c>
      <c r="M45" s="11">
        <v>26218.78</v>
      </c>
      <c r="N45" s="7">
        <v>22826.0</v>
      </c>
      <c r="O45" s="9">
        <f t="shared" si="3"/>
        <v>1.148636642</v>
      </c>
      <c r="P45" s="7">
        <v>18146.0</v>
      </c>
      <c r="Q45" s="11">
        <v>18939.65</v>
      </c>
      <c r="R45" s="7">
        <v>1.4451545E7</v>
      </c>
      <c r="S45" s="9">
        <f t="shared" si="4"/>
        <v>1.310562296</v>
      </c>
      <c r="T45" s="7">
        <v>36038.0</v>
      </c>
      <c r="U45" s="11">
        <v>0.0</v>
      </c>
      <c r="V45" s="7">
        <v>0.0</v>
      </c>
      <c r="W45" s="12" t="str">
        <f t="shared" si="5"/>
        <v>-</v>
      </c>
      <c r="X45" s="10">
        <v>3.0</v>
      </c>
      <c r="Y45" s="11">
        <v>0.0</v>
      </c>
      <c r="Z45" s="7">
        <v>0.0</v>
      </c>
      <c r="AA45" s="12" t="str">
        <f t="shared" si="6"/>
        <v>-</v>
      </c>
      <c r="AB45" s="10">
        <v>1.0</v>
      </c>
    </row>
    <row r="46" ht="12.0" customHeight="1">
      <c r="A46" s="6">
        <v>44872.0</v>
      </c>
      <c r="B46" s="6">
        <v>44878.0</v>
      </c>
      <c r="C46" s="7">
        <v>45.0</v>
      </c>
      <c r="D46" s="7">
        <v>2022.0</v>
      </c>
      <c r="E46" s="11">
        <v>52676.89</v>
      </c>
      <c r="F46" s="7">
        <v>49374.0</v>
      </c>
      <c r="G46" s="7">
        <v>73849.0</v>
      </c>
      <c r="H46" s="7">
        <f t="shared" si="1"/>
        <v>123223</v>
      </c>
      <c r="I46" s="11">
        <v>1975.23</v>
      </c>
      <c r="J46" s="7">
        <v>21851.0</v>
      </c>
      <c r="K46" s="9">
        <f t="shared" si="2"/>
        <v>0.09039540524</v>
      </c>
      <c r="L46" s="7">
        <v>17274.0</v>
      </c>
      <c r="M46" s="11">
        <v>27400.21</v>
      </c>
      <c r="N46" s="7">
        <v>23618.0</v>
      </c>
      <c r="O46" s="9">
        <f t="shared" si="3"/>
        <v>1.160140994</v>
      </c>
      <c r="P46" s="7">
        <v>19380.0</v>
      </c>
      <c r="Q46" s="11">
        <v>23301.45</v>
      </c>
      <c r="R46" s="7">
        <v>1.3067519E7</v>
      </c>
      <c r="S46" s="9">
        <f t="shared" si="4"/>
        <v>1.78315792</v>
      </c>
      <c r="T46" s="7">
        <v>37195.0</v>
      </c>
      <c r="U46" s="11">
        <v>0.0</v>
      </c>
      <c r="V46" s="7">
        <v>0.0</v>
      </c>
      <c r="W46" s="12" t="str">
        <f t="shared" si="5"/>
        <v>-</v>
      </c>
      <c r="X46" s="10">
        <v>10.0</v>
      </c>
      <c r="Y46" s="11">
        <v>0.0</v>
      </c>
      <c r="Z46" s="7">
        <v>0.0</v>
      </c>
      <c r="AA46" s="12" t="str">
        <f t="shared" si="6"/>
        <v>-</v>
      </c>
      <c r="AB46" s="10">
        <v>0.0</v>
      </c>
    </row>
    <row r="47" ht="12.0" customHeight="1">
      <c r="A47" s="6">
        <v>44879.0</v>
      </c>
      <c r="B47" s="6">
        <v>44885.0</v>
      </c>
      <c r="C47" s="7">
        <v>46.0</v>
      </c>
      <c r="D47" s="7">
        <v>2022.0</v>
      </c>
      <c r="E47" s="11">
        <v>56165.16</v>
      </c>
      <c r="F47" s="7">
        <v>50086.0</v>
      </c>
      <c r="G47" s="7">
        <v>74694.0</v>
      </c>
      <c r="H47" s="7">
        <f t="shared" si="1"/>
        <v>124780</v>
      </c>
      <c r="I47" s="11">
        <v>2017.4</v>
      </c>
      <c r="J47" s="7">
        <v>22316.0</v>
      </c>
      <c r="K47" s="9">
        <f t="shared" si="2"/>
        <v>0.09040150565</v>
      </c>
      <c r="L47" s="7">
        <v>17078.0</v>
      </c>
      <c r="M47" s="11">
        <v>27493.05</v>
      </c>
      <c r="N47" s="7">
        <v>28315.0</v>
      </c>
      <c r="O47" s="9">
        <f t="shared" si="3"/>
        <v>0.9709712167</v>
      </c>
      <c r="P47" s="7">
        <v>22270.0</v>
      </c>
      <c r="Q47" s="11">
        <v>26654.71</v>
      </c>
      <c r="R47" s="7">
        <v>1.2669348E7</v>
      </c>
      <c r="S47" s="9">
        <f t="shared" si="4"/>
        <v>2.103873854</v>
      </c>
      <c r="T47" s="7">
        <v>35312.0</v>
      </c>
      <c r="U47" s="11">
        <v>0.0</v>
      </c>
      <c r="V47" s="7">
        <v>0.0</v>
      </c>
      <c r="W47" s="12" t="str">
        <f t="shared" si="5"/>
        <v>-</v>
      </c>
      <c r="X47" s="10">
        <v>11.0</v>
      </c>
      <c r="Y47" s="11">
        <v>0.0</v>
      </c>
      <c r="Z47" s="7">
        <v>0.0</v>
      </c>
      <c r="AA47" s="12" t="str">
        <f t="shared" si="6"/>
        <v>-</v>
      </c>
      <c r="AB47" s="10">
        <v>34.0</v>
      </c>
    </row>
    <row r="48" ht="12.0" customHeight="1">
      <c r="A48" s="6">
        <v>44886.0</v>
      </c>
      <c r="B48" s="6">
        <v>44892.0</v>
      </c>
      <c r="C48" s="7">
        <v>47.0</v>
      </c>
      <c r="D48" s="7">
        <v>2022.0</v>
      </c>
      <c r="E48" s="11">
        <v>51143.7</v>
      </c>
      <c r="F48" s="7">
        <v>57973.0</v>
      </c>
      <c r="G48" s="7">
        <v>75528.0</v>
      </c>
      <c r="H48" s="7">
        <f t="shared" si="1"/>
        <v>133501</v>
      </c>
      <c r="I48" s="11">
        <v>2544.36</v>
      </c>
      <c r="J48" s="7">
        <v>23982.0</v>
      </c>
      <c r="K48" s="9">
        <f t="shared" si="2"/>
        <v>0.1060945709</v>
      </c>
      <c r="L48" s="7">
        <v>18328.0</v>
      </c>
      <c r="M48" s="11">
        <v>25902.28</v>
      </c>
      <c r="N48" s="7">
        <v>27792.0</v>
      </c>
      <c r="O48" s="9">
        <f t="shared" si="3"/>
        <v>0.9320048935</v>
      </c>
      <c r="P48" s="7">
        <v>23265.0</v>
      </c>
      <c r="Q48" s="11">
        <v>22697.06</v>
      </c>
      <c r="R48" s="7">
        <v>9823300.0</v>
      </c>
      <c r="S48" s="9">
        <f t="shared" si="4"/>
        <v>2.31053312</v>
      </c>
      <c r="T48" s="7">
        <v>33760.0</v>
      </c>
      <c r="U48" s="11">
        <v>0.0</v>
      </c>
      <c r="V48" s="7">
        <v>0.0</v>
      </c>
      <c r="W48" s="12" t="str">
        <f t="shared" si="5"/>
        <v>-</v>
      </c>
      <c r="X48" s="10">
        <v>131.0</v>
      </c>
      <c r="Y48" s="11">
        <v>0.0</v>
      </c>
      <c r="Z48" s="7">
        <v>0.0</v>
      </c>
      <c r="AA48" s="12" t="str">
        <f t="shared" si="6"/>
        <v>-</v>
      </c>
      <c r="AB48" s="10">
        <v>175.0</v>
      </c>
    </row>
    <row r="49" ht="12.0" customHeight="1">
      <c r="A49" s="6">
        <v>44893.0</v>
      </c>
      <c r="B49" s="6">
        <v>44899.0</v>
      </c>
      <c r="C49" s="7">
        <v>48.0</v>
      </c>
      <c r="D49" s="7">
        <v>2022.0</v>
      </c>
      <c r="E49" s="11">
        <v>48014.46000000001</v>
      </c>
      <c r="F49" s="7">
        <v>55498.0</v>
      </c>
      <c r="G49" s="7">
        <v>75884.0</v>
      </c>
      <c r="H49" s="7">
        <f t="shared" si="1"/>
        <v>131382</v>
      </c>
      <c r="I49" s="11">
        <v>2308.08</v>
      </c>
      <c r="J49" s="7">
        <v>22964.0</v>
      </c>
      <c r="K49" s="9">
        <f t="shared" si="2"/>
        <v>0.1005086222</v>
      </c>
      <c r="L49" s="7">
        <v>17566.0</v>
      </c>
      <c r="M49" s="11">
        <v>27272.33</v>
      </c>
      <c r="N49" s="7">
        <v>33828.0</v>
      </c>
      <c r="O49" s="9">
        <f t="shared" si="3"/>
        <v>0.8062058058</v>
      </c>
      <c r="P49" s="7">
        <v>27522.0</v>
      </c>
      <c r="Q49" s="11">
        <v>18434.05</v>
      </c>
      <c r="R49" s="7">
        <v>1.0173027E7</v>
      </c>
      <c r="S49" s="9">
        <f t="shared" si="4"/>
        <v>1.812051615</v>
      </c>
      <c r="T49" s="7">
        <v>30754.0</v>
      </c>
      <c r="U49" s="11">
        <v>0.0</v>
      </c>
      <c r="V49" s="7">
        <v>0.0</v>
      </c>
      <c r="W49" s="12" t="str">
        <f t="shared" si="5"/>
        <v>-</v>
      </c>
      <c r="X49" s="10">
        <v>45.0</v>
      </c>
      <c r="Y49" s="11">
        <v>0.0</v>
      </c>
      <c r="Z49" s="7">
        <v>0.0</v>
      </c>
      <c r="AA49" s="12" t="str">
        <f t="shared" si="6"/>
        <v>-</v>
      </c>
      <c r="AB49" s="10">
        <v>42.0</v>
      </c>
    </row>
    <row r="50" ht="12.0" customHeight="1">
      <c r="A50" s="6">
        <v>44900.0</v>
      </c>
      <c r="B50" s="6">
        <v>44906.0</v>
      </c>
      <c r="C50" s="7">
        <v>49.0</v>
      </c>
      <c r="D50" s="7">
        <v>2022.0</v>
      </c>
      <c r="E50" s="11">
        <v>50866.53999999999</v>
      </c>
      <c r="F50" s="7">
        <v>54846.0</v>
      </c>
      <c r="G50" s="7">
        <v>81839.0</v>
      </c>
      <c r="H50" s="7">
        <f t="shared" si="1"/>
        <v>136685</v>
      </c>
      <c r="I50" s="11">
        <v>2419.39</v>
      </c>
      <c r="J50" s="7">
        <v>25149.0</v>
      </c>
      <c r="K50" s="9">
        <f t="shared" si="2"/>
        <v>0.09620223468</v>
      </c>
      <c r="L50" s="7">
        <v>18178.0</v>
      </c>
      <c r="M50" s="11">
        <v>28859.66</v>
      </c>
      <c r="N50" s="7">
        <v>37462.0</v>
      </c>
      <c r="O50" s="9">
        <f t="shared" si="3"/>
        <v>0.7703715765</v>
      </c>
      <c r="P50" s="7">
        <v>30084.0</v>
      </c>
      <c r="Q50" s="11">
        <v>18740.57</v>
      </c>
      <c r="R50" s="7">
        <v>1.09625E7</v>
      </c>
      <c r="S50" s="9">
        <f t="shared" si="4"/>
        <v>1.709516078</v>
      </c>
      <c r="T50" s="7">
        <v>33522.0</v>
      </c>
      <c r="U50" s="11">
        <v>846.92</v>
      </c>
      <c r="V50" s="7">
        <v>9690.0</v>
      </c>
      <c r="W50" s="12">
        <f t="shared" si="5"/>
        <v>0.08740144479</v>
      </c>
      <c r="X50" s="10">
        <v>1170.0</v>
      </c>
      <c r="Y50" s="11">
        <v>0.0</v>
      </c>
      <c r="Z50" s="7">
        <v>0.0</v>
      </c>
      <c r="AA50" s="12" t="str">
        <f t="shared" si="6"/>
        <v>-</v>
      </c>
      <c r="AB50" s="10">
        <v>55.0</v>
      </c>
    </row>
    <row r="51" ht="12.0" customHeight="1">
      <c r="A51" s="6">
        <v>44907.0</v>
      </c>
      <c r="B51" s="6">
        <v>44913.0</v>
      </c>
      <c r="C51" s="7">
        <v>50.0</v>
      </c>
      <c r="D51" s="7">
        <v>2022.0</v>
      </c>
      <c r="E51" s="11">
        <v>48106.4</v>
      </c>
      <c r="F51" s="7">
        <v>50932.0</v>
      </c>
      <c r="G51" s="7">
        <v>85188.0</v>
      </c>
      <c r="H51" s="7">
        <f t="shared" si="1"/>
        <v>136120</v>
      </c>
      <c r="I51" s="11">
        <v>2416.34</v>
      </c>
      <c r="J51" s="7">
        <v>21678.0</v>
      </c>
      <c r="K51" s="9">
        <f t="shared" si="2"/>
        <v>0.1114650798</v>
      </c>
      <c r="L51" s="7">
        <v>17244.0</v>
      </c>
      <c r="M51" s="11">
        <v>27608.02</v>
      </c>
      <c r="N51" s="7">
        <v>33752.0</v>
      </c>
      <c r="O51" s="9">
        <f t="shared" si="3"/>
        <v>0.8179669353</v>
      </c>
      <c r="P51" s="7">
        <v>26197.0</v>
      </c>
      <c r="Q51" s="11">
        <v>16917.69</v>
      </c>
      <c r="R51" s="7">
        <v>9209670.0</v>
      </c>
      <c r="S51" s="9">
        <f t="shared" si="4"/>
        <v>1.836948555</v>
      </c>
      <c r="T51" s="7">
        <v>41739.0</v>
      </c>
      <c r="U51" s="11">
        <v>1164.35</v>
      </c>
      <c r="V51" s="7">
        <v>11663.0</v>
      </c>
      <c r="W51" s="12">
        <f t="shared" si="5"/>
        <v>0.0998328046</v>
      </c>
      <c r="X51" s="10">
        <v>2095.0</v>
      </c>
      <c r="Y51" s="11">
        <v>0.0</v>
      </c>
      <c r="Z51" s="7">
        <v>0.0</v>
      </c>
      <c r="AA51" s="12" t="str">
        <f t="shared" si="6"/>
        <v>-</v>
      </c>
      <c r="AB51" s="10">
        <v>8.0</v>
      </c>
    </row>
    <row r="52" ht="12.0" customHeight="1">
      <c r="A52" s="6">
        <v>44914.0</v>
      </c>
      <c r="B52" s="6">
        <v>44920.0</v>
      </c>
      <c r="C52" s="7">
        <v>51.0</v>
      </c>
      <c r="D52" s="7">
        <v>2022.0</v>
      </c>
      <c r="E52" s="11">
        <v>47498.86</v>
      </c>
      <c r="F52" s="7">
        <v>45342.0</v>
      </c>
      <c r="G52" s="7">
        <v>88327.0</v>
      </c>
      <c r="H52" s="7">
        <f t="shared" si="1"/>
        <v>133669</v>
      </c>
      <c r="I52" s="11">
        <v>2261.34</v>
      </c>
      <c r="J52" s="7">
        <v>20815.0</v>
      </c>
      <c r="K52" s="9">
        <f t="shared" si="2"/>
        <v>0.1086399231</v>
      </c>
      <c r="L52" s="7">
        <v>15954.0</v>
      </c>
      <c r="M52" s="11">
        <v>26442.89</v>
      </c>
      <c r="N52" s="7">
        <v>28436.0</v>
      </c>
      <c r="O52" s="9">
        <f t="shared" si="3"/>
        <v>0.9299089183</v>
      </c>
      <c r="P52" s="7">
        <v>21996.0</v>
      </c>
      <c r="Q52" s="11">
        <v>17373.95</v>
      </c>
      <c r="R52" s="7">
        <v>1.1526756E7</v>
      </c>
      <c r="S52" s="9">
        <f t="shared" si="4"/>
        <v>1.50727143</v>
      </c>
      <c r="T52" s="7">
        <v>50377.0</v>
      </c>
      <c r="U52" s="11">
        <v>1420.68</v>
      </c>
      <c r="V52" s="7">
        <v>11972.0</v>
      </c>
      <c r="W52" s="12">
        <f t="shared" si="5"/>
        <v>0.1186668894</v>
      </c>
      <c r="X52" s="10">
        <v>2961.0</v>
      </c>
      <c r="Y52" s="11">
        <v>0.0</v>
      </c>
      <c r="Z52" s="7">
        <v>0.0</v>
      </c>
      <c r="AA52" s="12" t="str">
        <f t="shared" si="6"/>
        <v>-</v>
      </c>
      <c r="AB52" s="10">
        <v>0.0</v>
      </c>
    </row>
    <row r="53" ht="12.0" customHeight="1">
      <c r="A53" s="6">
        <v>44921.0</v>
      </c>
      <c r="B53" s="6">
        <v>44927.0</v>
      </c>
      <c r="C53" s="7">
        <v>52.0</v>
      </c>
      <c r="D53" s="7">
        <v>2022.0</v>
      </c>
      <c r="E53" s="11">
        <v>46956.46</v>
      </c>
      <c r="F53" s="7">
        <v>62277.0</v>
      </c>
      <c r="G53" s="7">
        <v>130034.0</v>
      </c>
      <c r="H53" s="7">
        <f t="shared" si="1"/>
        <v>192311</v>
      </c>
      <c r="I53" s="11">
        <v>3154.93</v>
      </c>
      <c r="J53" s="7">
        <v>31425.0</v>
      </c>
      <c r="K53" s="9">
        <f t="shared" si="2"/>
        <v>0.1003955449</v>
      </c>
      <c r="L53" s="7">
        <v>23426.0</v>
      </c>
      <c r="M53" s="11">
        <v>24792.11</v>
      </c>
      <c r="N53" s="7">
        <v>34002.0</v>
      </c>
      <c r="O53" s="9">
        <f t="shared" si="3"/>
        <v>0.7291368155</v>
      </c>
      <c r="P53" s="7">
        <v>27582.0</v>
      </c>
      <c r="Q53" s="11">
        <v>17494.63</v>
      </c>
      <c r="R53" s="7">
        <v>1.8626933E7</v>
      </c>
      <c r="S53" s="9">
        <f t="shared" si="4"/>
        <v>0.939211517</v>
      </c>
      <c r="T53" s="7">
        <v>79026.0</v>
      </c>
      <c r="U53" s="11">
        <v>1514.79</v>
      </c>
      <c r="V53" s="7">
        <v>12587.0</v>
      </c>
      <c r="W53" s="12">
        <f t="shared" si="5"/>
        <v>0.1203455947</v>
      </c>
      <c r="X53" s="10">
        <v>3834.0</v>
      </c>
      <c r="Y53" s="11">
        <v>0.0</v>
      </c>
      <c r="Z53" s="7">
        <v>0.0</v>
      </c>
      <c r="AA53" s="12" t="str">
        <f t="shared" si="6"/>
        <v>-</v>
      </c>
      <c r="AB53" s="10">
        <v>0.0</v>
      </c>
    </row>
    <row r="54" ht="12.0" customHeight="1">
      <c r="A54" s="6">
        <v>44928.0</v>
      </c>
      <c r="B54" s="6">
        <v>44934.0</v>
      </c>
      <c r="C54" s="7">
        <v>1.0</v>
      </c>
      <c r="D54" s="7">
        <v>2023.0</v>
      </c>
      <c r="E54" s="11">
        <v>55975.41999999999</v>
      </c>
      <c r="F54" s="7">
        <v>86404.0</v>
      </c>
      <c r="G54" s="7">
        <v>176041.0</v>
      </c>
      <c r="H54" s="7">
        <f t="shared" si="1"/>
        <v>262445</v>
      </c>
      <c r="I54" s="11">
        <v>3564.04</v>
      </c>
      <c r="J54" s="7">
        <v>41878.0</v>
      </c>
      <c r="K54" s="9">
        <f t="shared" si="2"/>
        <v>0.08510530589</v>
      </c>
      <c r="L54" s="7">
        <v>32495.0</v>
      </c>
      <c r="M54" s="11">
        <v>29716.55</v>
      </c>
      <c r="N54" s="7">
        <v>45182.0</v>
      </c>
      <c r="O54" s="9">
        <f t="shared" si="3"/>
        <v>0.6577077155</v>
      </c>
      <c r="P54" s="7">
        <v>38295.0</v>
      </c>
      <c r="Q54" s="11">
        <v>21163.74</v>
      </c>
      <c r="R54" s="7">
        <v>2.5023933E7</v>
      </c>
      <c r="S54" s="9">
        <f t="shared" si="4"/>
        <v>0.8457399562</v>
      </c>
      <c r="T54" s="7">
        <v>105251.0</v>
      </c>
      <c r="U54" s="11">
        <v>1531.09</v>
      </c>
      <c r="V54" s="7">
        <v>15037.0</v>
      </c>
      <c r="W54" s="12">
        <f t="shared" si="5"/>
        <v>0.1018215069</v>
      </c>
      <c r="X54" s="10">
        <v>6037.0</v>
      </c>
      <c r="Y54" s="11">
        <v>0.0</v>
      </c>
      <c r="Z54" s="7">
        <v>0.0</v>
      </c>
      <c r="AA54" s="12" t="str">
        <f t="shared" si="6"/>
        <v>-</v>
      </c>
      <c r="AB54" s="10">
        <v>0.0</v>
      </c>
    </row>
    <row r="55" ht="12.0" customHeight="1">
      <c r="A55" s="6">
        <v>44935.0</v>
      </c>
      <c r="B55" s="6">
        <v>44941.0</v>
      </c>
      <c r="C55" s="7">
        <v>2.0</v>
      </c>
      <c r="D55" s="7">
        <v>2023.0</v>
      </c>
      <c r="E55" s="11">
        <v>60782.07</v>
      </c>
      <c r="F55" s="7">
        <v>93691.0</v>
      </c>
      <c r="G55" s="7">
        <v>155670.0</v>
      </c>
      <c r="H55" s="7">
        <f t="shared" si="1"/>
        <v>249361</v>
      </c>
      <c r="I55" s="11">
        <v>3942.5</v>
      </c>
      <c r="J55" s="7">
        <v>37716.0</v>
      </c>
      <c r="K55" s="9">
        <f t="shared" si="2"/>
        <v>0.1045312334</v>
      </c>
      <c r="L55" s="7">
        <v>29949.0</v>
      </c>
      <c r="M55" s="11">
        <v>31266.2</v>
      </c>
      <c r="N55" s="7">
        <v>42479.0</v>
      </c>
      <c r="O55" s="9">
        <f t="shared" si="3"/>
        <v>0.736038984</v>
      </c>
      <c r="P55" s="7">
        <v>35562.0</v>
      </c>
      <c r="Q55" s="11">
        <v>24041.12</v>
      </c>
      <c r="R55" s="7">
        <v>2.3521949E7</v>
      </c>
      <c r="S55" s="9">
        <f t="shared" si="4"/>
        <v>1.022071768</v>
      </c>
      <c r="T55" s="7">
        <v>90159.0</v>
      </c>
      <c r="U55" s="11">
        <v>1532.25</v>
      </c>
      <c r="V55" s="7">
        <v>15755.0</v>
      </c>
      <c r="W55" s="12">
        <f t="shared" si="5"/>
        <v>0.09725483973</v>
      </c>
      <c r="X55" s="10">
        <v>5439.0</v>
      </c>
      <c r="Y55" s="11">
        <v>0.0</v>
      </c>
      <c r="Z55" s="7">
        <v>0.0</v>
      </c>
      <c r="AA55" s="12" t="str">
        <f t="shared" si="6"/>
        <v>-</v>
      </c>
      <c r="AB55" s="10">
        <v>0.0</v>
      </c>
    </row>
    <row r="56" ht="12.0" customHeight="1">
      <c r="A56" s="6">
        <v>44942.0</v>
      </c>
      <c r="B56" s="6">
        <v>44948.0</v>
      </c>
      <c r="C56" s="7">
        <v>3.0</v>
      </c>
      <c r="D56" s="7">
        <v>2023.0</v>
      </c>
      <c r="E56" s="11">
        <v>70690.37000000001</v>
      </c>
      <c r="F56" s="7">
        <v>89759.0</v>
      </c>
      <c r="G56" s="7">
        <v>163439.0</v>
      </c>
      <c r="H56" s="7">
        <f t="shared" si="1"/>
        <v>253198</v>
      </c>
      <c r="I56" s="11">
        <v>4048.94</v>
      </c>
      <c r="J56" s="7">
        <v>37209.0</v>
      </c>
      <c r="K56" s="9">
        <f t="shared" si="2"/>
        <v>0.1088161466</v>
      </c>
      <c r="L56" s="7">
        <v>29973.0</v>
      </c>
      <c r="M56" s="11">
        <v>32722.9</v>
      </c>
      <c r="N56" s="7">
        <v>41326.0</v>
      </c>
      <c r="O56" s="9">
        <f t="shared" si="3"/>
        <v>0.7918235493</v>
      </c>
      <c r="P56" s="7">
        <v>34320.0</v>
      </c>
      <c r="Q56" s="11">
        <v>32391.82</v>
      </c>
      <c r="R56" s="7">
        <v>2.5903566E7</v>
      </c>
      <c r="S56" s="9">
        <f t="shared" si="4"/>
        <v>1.250477251</v>
      </c>
      <c r="T56" s="7">
        <v>98983.0</v>
      </c>
      <c r="U56" s="11">
        <v>1526.71</v>
      </c>
      <c r="V56" s="7">
        <v>16772.0</v>
      </c>
      <c r="W56" s="12">
        <f t="shared" si="5"/>
        <v>0.09102730742</v>
      </c>
      <c r="X56" s="10">
        <v>5005.0</v>
      </c>
      <c r="Y56" s="11">
        <v>0.0</v>
      </c>
      <c r="Z56" s="7">
        <v>0.0</v>
      </c>
      <c r="AA56" s="12" t="str">
        <f t="shared" si="6"/>
        <v>-</v>
      </c>
      <c r="AB56" s="10">
        <v>163.0</v>
      </c>
    </row>
    <row r="57" ht="12.0" customHeight="1">
      <c r="A57" s="6">
        <v>44949.0</v>
      </c>
      <c r="B57" s="6">
        <v>44955.0</v>
      </c>
      <c r="C57" s="7">
        <v>4.0</v>
      </c>
      <c r="D57" s="7">
        <v>2023.0</v>
      </c>
      <c r="E57" s="11">
        <v>79804.3</v>
      </c>
      <c r="F57" s="7">
        <v>87197.0</v>
      </c>
      <c r="G57" s="7">
        <v>153464.0</v>
      </c>
      <c r="H57" s="7">
        <f t="shared" si="1"/>
        <v>240661</v>
      </c>
      <c r="I57" s="11">
        <v>4111.72</v>
      </c>
      <c r="J57" s="7">
        <v>35801.0</v>
      </c>
      <c r="K57" s="9">
        <f t="shared" si="2"/>
        <v>0.1148493059</v>
      </c>
      <c r="L57" s="7">
        <v>28183.0</v>
      </c>
      <c r="M57" s="11">
        <v>37841.42</v>
      </c>
      <c r="N57" s="7">
        <v>43831.0</v>
      </c>
      <c r="O57" s="9">
        <f t="shared" si="3"/>
        <v>0.8633483151</v>
      </c>
      <c r="P57" s="7">
        <v>36262.0</v>
      </c>
      <c r="Q57" s="11">
        <v>36319.92</v>
      </c>
      <c r="R57" s="7">
        <v>2.563647E7</v>
      </c>
      <c r="S57" s="9">
        <f t="shared" si="4"/>
        <v>1.41672859</v>
      </c>
      <c r="T57" s="7">
        <v>89000.0</v>
      </c>
      <c r="U57" s="11">
        <v>1531.24</v>
      </c>
      <c r="V57" s="7">
        <v>19043.0</v>
      </c>
      <c r="W57" s="12">
        <f t="shared" si="5"/>
        <v>0.08040959933</v>
      </c>
      <c r="X57" s="10">
        <v>4832.0</v>
      </c>
      <c r="Y57" s="11">
        <v>0.0</v>
      </c>
      <c r="Z57" s="7">
        <v>0.0</v>
      </c>
      <c r="AA57" s="12" t="str">
        <f t="shared" si="6"/>
        <v>-</v>
      </c>
      <c r="AB57" s="10">
        <v>19.0</v>
      </c>
    </row>
    <row r="58" ht="12.0" customHeight="1">
      <c r="A58" s="6">
        <v>44956.0</v>
      </c>
      <c r="B58" s="6">
        <v>44962.0</v>
      </c>
      <c r="C58" s="7">
        <v>5.0</v>
      </c>
      <c r="D58" s="7">
        <v>2023.0</v>
      </c>
      <c r="E58" s="11">
        <v>77065.73000000001</v>
      </c>
      <c r="F58" s="7">
        <v>81508.0</v>
      </c>
      <c r="G58" s="7">
        <v>148626.0</v>
      </c>
      <c r="H58" s="7">
        <f t="shared" si="1"/>
        <v>230134</v>
      </c>
      <c r="I58" s="11">
        <v>3782.29</v>
      </c>
      <c r="J58" s="7">
        <v>32538.0</v>
      </c>
      <c r="K58" s="9">
        <f t="shared" si="2"/>
        <v>0.1162422398</v>
      </c>
      <c r="L58" s="7">
        <v>25770.0</v>
      </c>
      <c r="M58" s="11">
        <v>39931.37</v>
      </c>
      <c r="N58" s="7">
        <v>44381.0</v>
      </c>
      <c r="O58" s="9">
        <f t="shared" si="3"/>
        <v>0.8997402041</v>
      </c>
      <c r="P58" s="7">
        <v>36401.0</v>
      </c>
      <c r="Q58" s="11">
        <v>31823.75</v>
      </c>
      <c r="R58" s="7">
        <v>2.246959E7</v>
      </c>
      <c r="S58" s="9">
        <f t="shared" si="4"/>
        <v>1.416303101</v>
      </c>
      <c r="T58" s="7">
        <v>86451.0</v>
      </c>
      <c r="U58" s="11">
        <v>1528.32</v>
      </c>
      <c r="V58" s="7">
        <v>19269.0</v>
      </c>
      <c r="W58" s="12">
        <f t="shared" si="5"/>
        <v>0.07931496186</v>
      </c>
      <c r="X58" s="10">
        <v>5182.0</v>
      </c>
      <c r="Y58" s="11">
        <v>0.0</v>
      </c>
      <c r="Z58" s="7">
        <v>0.0</v>
      </c>
      <c r="AA58" s="12" t="str">
        <f t="shared" si="6"/>
        <v>-</v>
      </c>
      <c r="AB58" s="10">
        <v>4.0</v>
      </c>
    </row>
    <row r="59" ht="12.0" customHeight="1">
      <c r="A59" s="6">
        <v>44963.0</v>
      </c>
      <c r="B59" s="6">
        <v>44969.0</v>
      </c>
      <c r="C59" s="7">
        <v>6.0</v>
      </c>
      <c r="D59" s="7">
        <v>2023.0</v>
      </c>
      <c r="E59" s="11">
        <v>78009.58</v>
      </c>
      <c r="F59" s="7">
        <v>69591.0</v>
      </c>
      <c r="G59" s="7">
        <v>128836.0</v>
      </c>
      <c r="H59" s="7">
        <f t="shared" si="1"/>
        <v>198427</v>
      </c>
      <c r="I59" s="11">
        <v>4340.81</v>
      </c>
      <c r="J59" s="7">
        <v>26988.0</v>
      </c>
      <c r="K59" s="9">
        <f t="shared" si="2"/>
        <v>0.1608422262</v>
      </c>
      <c r="L59" s="7">
        <v>21645.0</v>
      </c>
      <c r="M59" s="11">
        <v>42116.92</v>
      </c>
      <c r="N59" s="7">
        <v>43689.0</v>
      </c>
      <c r="O59" s="9">
        <f t="shared" si="3"/>
        <v>0.9640165717</v>
      </c>
      <c r="P59" s="7">
        <v>34432.0</v>
      </c>
      <c r="Q59" s="11">
        <v>31279.21</v>
      </c>
      <c r="R59" s="7">
        <v>2.2276663E7</v>
      </c>
      <c r="S59" s="9">
        <f t="shared" si="4"/>
        <v>1.404124576</v>
      </c>
      <c r="T59" s="7">
        <v>72758.0</v>
      </c>
      <c r="U59" s="11">
        <v>272.64</v>
      </c>
      <c r="V59" s="7">
        <v>3926.0</v>
      </c>
      <c r="W59" s="12">
        <f t="shared" si="5"/>
        <v>0.06944472746</v>
      </c>
      <c r="X59" s="10">
        <v>1202.0</v>
      </c>
      <c r="Y59" s="11">
        <v>0.0</v>
      </c>
      <c r="Z59" s="7">
        <v>0.0</v>
      </c>
      <c r="AA59" s="12" t="str">
        <f t="shared" si="6"/>
        <v>-</v>
      </c>
      <c r="AB59" s="10">
        <v>1.0</v>
      </c>
    </row>
    <row r="60" ht="12.0" customHeight="1">
      <c r="A60" s="6">
        <v>44970.0</v>
      </c>
      <c r="B60" s="6">
        <v>44976.0</v>
      </c>
      <c r="C60" s="7">
        <v>7.0</v>
      </c>
      <c r="D60" s="7">
        <v>2023.0</v>
      </c>
      <c r="E60" s="11">
        <v>75017.21</v>
      </c>
      <c r="F60" s="7">
        <v>72934.0</v>
      </c>
      <c r="G60" s="7">
        <v>136614.0</v>
      </c>
      <c r="H60" s="7">
        <f t="shared" si="1"/>
        <v>209548</v>
      </c>
      <c r="I60" s="11">
        <v>5965.23</v>
      </c>
      <c r="J60" s="7">
        <v>31040.0</v>
      </c>
      <c r="K60" s="9">
        <f t="shared" si="2"/>
        <v>0.1921788015</v>
      </c>
      <c r="L60" s="7">
        <v>23611.0</v>
      </c>
      <c r="M60" s="11">
        <v>38148.73</v>
      </c>
      <c r="N60" s="7">
        <v>42843.0</v>
      </c>
      <c r="O60" s="9">
        <f t="shared" si="3"/>
        <v>0.8904308755</v>
      </c>
      <c r="P60" s="7">
        <v>34574.0</v>
      </c>
      <c r="Q60" s="11">
        <v>30146.76</v>
      </c>
      <c r="R60" s="7">
        <v>2.0600218E7</v>
      </c>
      <c r="S60" s="9">
        <f t="shared" si="4"/>
        <v>1.463419465</v>
      </c>
      <c r="T60" s="7">
        <v>78427.0</v>
      </c>
      <c r="U60" s="11">
        <v>756.49</v>
      </c>
      <c r="V60" s="7">
        <v>7168.0</v>
      </c>
      <c r="W60" s="12">
        <f t="shared" si="5"/>
        <v>0.1055371094</v>
      </c>
      <c r="X60" s="10">
        <v>1678.0</v>
      </c>
      <c r="Y60" s="11">
        <v>0.0</v>
      </c>
      <c r="Z60" s="7">
        <v>0.0</v>
      </c>
      <c r="AA60" s="12" t="str">
        <f t="shared" si="6"/>
        <v>-</v>
      </c>
      <c r="AB60" s="10">
        <v>2.0</v>
      </c>
    </row>
    <row r="61" ht="12.0" customHeight="1">
      <c r="A61" s="6">
        <v>44977.0</v>
      </c>
      <c r="B61" s="6">
        <v>44983.0</v>
      </c>
      <c r="C61" s="7">
        <v>8.0</v>
      </c>
      <c r="D61" s="7">
        <v>2023.0</v>
      </c>
      <c r="E61" s="11">
        <v>76589.94</v>
      </c>
      <c r="F61" s="7">
        <v>77545.0</v>
      </c>
      <c r="G61" s="7">
        <v>132390.0</v>
      </c>
      <c r="H61" s="7">
        <f t="shared" si="1"/>
        <v>209935</v>
      </c>
      <c r="I61" s="11">
        <v>6621.76</v>
      </c>
      <c r="J61" s="7">
        <v>36811.0</v>
      </c>
      <c r="K61" s="9">
        <f t="shared" si="2"/>
        <v>0.1798853604</v>
      </c>
      <c r="L61" s="7">
        <v>25703.0</v>
      </c>
      <c r="M61" s="11">
        <v>38319.64</v>
      </c>
      <c r="N61" s="7">
        <v>46152.0</v>
      </c>
      <c r="O61" s="9">
        <f t="shared" si="3"/>
        <v>0.8302920783</v>
      </c>
      <c r="P61" s="7">
        <v>33616.0</v>
      </c>
      <c r="Q61" s="11">
        <v>30130.2</v>
      </c>
      <c r="R61" s="7">
        <v>2.0087427E7</v>
      </c>
      <c r="S61" s="9">
        <f t="shared" si="4"/>
        <v>1.49995318</v>
      </c>
      <c r="T61" s="7">
        <v>73067.0</v>
      </c>
      <c r="U61" s="11">
        <v>1518.34</v>
      </c>
      <c r="V61" s="7">
        <v>20545.0</v>
      </c>
      <c r="W61" s="12">
        <f t="shared" si="5"/>
        <v>0.07390313945</v>
      </c>
      <c r="X61" s="10">
        <v>4973.0</v>
      </c>
      <c r="Y61" s="11">
        <v>0.0</v>
      </c>
      <c r="Z61" s="7">
        <v>0.0</v>
      </c>
      <c r="AA61" s="12" t="str">
        <f t="shared" si="6"/>
        <v>-</v>
      </c>
      <c r="AB61" s="10">
        <v>4.0</v>
      </c>
    </row>
    <row r="62" ht="12.0" customHeight="1">
      <c r="A62" s="6">
        <v>44984.0</v>
      </c>
      <c r="B62" s="6">
        <v>44990.0</v>
      </c>
      <c r="C62" s="7">
        <v>9.0</v>
      </c>
      <c r="D62" s="7">
        <v>2023.0</v>
      </c>
      <c r="E62" s="11">
        <v>60788.46999999999</v>
      </c>
      <c r="F62" s="7">
        <v>71924.0</v>
      </c>
      <c r="G62" s="7">
        <v>92141.0</v>
      </c>
      <c r="H62" s="7">
        <f t="shared" si="1"/>
        <v>164065</v>
      </c>
      <c r="I62" s="11">
        <v>6217.56</v>
      </c>
      <c r="J62" s="7">
        <v>37644.0</v>
      </c>
      <c r="K62" s="9">
        <f t="shared" si="2"/>
        <v>0.1651673573</v>
      </c>
      <c r="L62" s="7">
        <v>22788.0</v>
      </c>
      <c r="M62" s="11">
        <v>28918.86</v>
      </c>
      <c r="N62" s="7">
        <v>34747.0</v>
      </c>
      <c r="O62" s="9">
        <f t="shared" si="3"/>
        <v>0.8322692607</v>
      </c>
      <c r="P62" s="7">
        <v>19953.0</v>
      </c>
      <c r="Q62" s="11">
        <v>24385.13</v>
      </c>
      <c r="R62" s="7">
        <v>1.573463E7</v>
      </c>
      <c r="S62" s="9">
        <f t="shared" si="4"/>
        <v>1.549774605</v>
      </c>
      <c r="T62" s="7">
        <v>49397.0</v>
      </c>
      <c r="U62" s="11">
        <v>1266.92</v>
      </c>
      <c r="V62" s="7">
        <v>17426.0</v>
      </c>
      <c r="W62" s="12">
        <f t="shared" si="5"/>
        <v>0.0727028578</v>
      </c>
      <c r="X62" s="10">
        <v>3741.0</v>
      </c>
      <c r="Y62" s="11">
        <v>0.0</v>
      </c>
      <c r="Z62" s="7">
        <v>0.0</v>
      </c>
      <c r="AA62" s="12" t="str">
        <f t="shared" si="6"/>
        <v>-</v>
      </c>
      <c r="AB62" s="10">
        <v>3.0</v>
      </c>
    </row>
    <row r="63" ht="12.0" customHeight="1">
      <c r="A63" s="6">
        <v>44991.0</v>
      </c>
      <c r="B63" s="6">
        <v>44997.0</v>
      </c>
      <c r="C63" s="7">
        <v>10.0</v>
      </c>
      <c r="D63" s="7">
        <v>2023.0</v>
      </c>
      <c r="E63" s="11">
        <v>76185.66</v>
      </c>
      <c r="F63" s="7">
        <v>83991.0</v>
      </c>
      <c r="G63" s="7">
        <v>110594.0</v>
      </c>
      <c r="H63" s="7">
        <f t="shared" si="1"/>
        <v>194585</v>
      </c>
      <c r="I63" s="11">
        <v>5401.17</v>
      </c>
      <c r="J63" s="7">
        <v>42402.0</v>
      </c>
      <c r="K63" s="9">
        <f t="shared" si="2"/>
        <v>0.1273800764</v>
      </c>
      <c r="L63" s="7">
        <v>24679.0</v>
      </c>
      <c r="M63" s="11">
        <v>35711.12</v>
      </c>
      <c r="N63" s="7">
        <v>45670.0</v>
      </c>
      <c r="O63" s="9">
        <f t="shared" si="3"/>
        <v>0.7819382527</v>
      </c>
      <c r="P63" s="7">
        <v>25475.0</v>
      </c>
      <c r="Q63" s="11">
        <v>31929.04</v>
      </c>
      <c r="R63" s="7">
        <v>1.9899824E7</v>
      </c>
      <c r="S63" s="9">
        <f t="shared" si="4"/>
        <v>1.604488562</v>
      </c>
      <c r="T63" s="7">
        <v>59602.0</v>
      </c>
      <c r="U63" s="11">
        <v>1365.84</v>
      </c>
      <c r="V63" s="7">
        <v>19107.0</v>
      </c>
      <c r="W63" s="12">
        <f t="shared" si="5"/>
        <v>0.07148374941</v>
      </c>
      <c r="X63" s="10">
        <v>4287.0</v>
      </c>
      <c r="Y63" s="11">
        <v>1778.49</v>
      </c>
      <c r="Z63" s="7">
        <v>1537888.0</v>
      </c>
      <c r="AA63" s="12">
        <f t="shared" si="6"/>
        <v>1.156449624</v>
      </c>
      <c r="AB63" s="10">
        <v>838.0</v>
      </c>
    </row>
    <row r="64" ht="12.0" customHeight="1">
      <c r="A64" s="6">
        <v>44998.0</v>
      </c>
      <c r="B64" s="6">
        <v>45004.0</v>
      </c>
      <c r="C64" s="7">
        <v>11.0</v>
      </c>
      <c r="D64" s="7">
        <v>2023.0</v>
      </c>
      <c r="E64" s="11">
        <v>83577.38</v>
      </c>
      <c r="F64" s="7">
        <v>85103.0</v>
      </c>
      <c r="G64" s="7">
        <v>115210.0</v>
      </c>
      <c r="H64" s="7">
        <f t="shared" si="1"/>
        <v>200313</v>
      </c>
      <c r="I64" s="11">
        <v>6638.84</v>
      </c>
      <c r="J64" s="7">
        <v>46719.0</v>
      </c>
      <c r="K64" s="9">
        <f t="shared" si="2"/>
        <v>0.1421015005</v>
      </c>
      <c r="L64" s="7">
        <v>28075.0</v>
      </c>
      <c r="M64" s="11">
        <v>35875.18</v>
      </c>
      <c r="N64" s="7">
        <v>48009.0</v>
      </c>
      <c r="O64" s="9">
        <f t="shared" si="3"/>
        <v>0.7472594722</v>
      </c>
      <c r="P64" s="7">
        <v>28017.0</v>
      </c>
      <c r="Q64" s="11">
        <v>34777.38</v>
      </c>
      <c r="R64" s="7">
        <v>2.130934E7</v>
      </c>
      <c r="S64" s="9">
        <f t="shared" si="4"/>
        <v>1.632025206</v>
      </c>
      <c r="T64" s="7">
        <v>57142.0</v>
      </c>
      <c r="U64" s="11">
        <v>1579.41</v>
      </c>
      <c r="V64" s="7">
        <v>20188.0</v>
      </c>
      <c r="W64" s="12">
        <f t="shared" si="5"/>
        <v>0.07823509015</v>
      </c>
      <c r="X64" s="10">
        <v>4362.0</v>
      </c>
      <c r="Y64" s="11">
        <v>4706.57</v>
      </c>
      <c r="Z64" s="7">
        <v>3855058.0</v>
      </c>
      <c r="AA64" s="12">
        <f t="shared" si="6"/>
        <v>1.220881761</v>
      </c>
      <c r="AB64" s="10">
        <v>1976.0</v>
      </c>
    </row>
    <row r="65" ht="12.0" customHeight="1">
      <c r="A65" s="6">
        <v>45005.0</v>
      </c>
      <c r="B65" s="6">
        <v>45011.0</v>
      </c>
      <c r="C65" s="7">
        <v>12.0</v>
      </c>
      <c r="D65" s="7">
        <v>2023.0</v>
      </c>
      <c r="E65" s="11">
        <v>84186.44</v>
      </c>
      <c r="F65" s="7">
        <v>84224.0</v>
      </c>
      <c r="G65" s="7">
        <v>117957.0</v>
      </c>
      <c r="H65" s="7">
        <f t="shared" si="1"/>
        <v>202181</v>
      </c>
      <c r="I65" s="11">
        <v>7796.88</v>
      </c>
      <c r="J65" s="7">
        <v>50341.0</v>
      </c>
      <c r="K65" s="9">
        <f t="shared" si="2"/>
        <v>0.1548813095</v>
      </c>
      <c r="L65" s="7">
        <v>31057.0</v>
      </c>
      <c r="M65" s="11">
        <v>32713.2</v>
      </c>
      <c r="N65" s="7">
        <v>47899.0</v>
      </c>
      <c r="O65" s="9">
        <f t="shared" si="3"/>
        <v>0.682962066</v>
      </c>
      <c r="P65" s="7">
        <v>27062.0</v>
      </c>
      <c r="Q65" s="11">
        <v>35233.91</v>
      </c>
      <c r="R65" s="7">
        <v>2.0888408E7</v>
      </c>
      <c r="S65" s="9">
        <f t="shared" si="4"/>
        <v>1.686768566</v>
      </c>
      <c r="T65" s="7">
        <v>56244.0</v>
      </c>
      <c r="U65" s="11">
        <v>1681.24</v>
      </c>
      <c r="V65" s="7">
        <v>19536.0</v>
      </c>
      <c r="W65" s="12">
        <f t="shared" si="5"/>
        <v>0.08605855856</v>
      </c>
      <c r="X65" s="10">
        <v>4908.0</v>
      </c>
      <c r="Y65" s="11">
        <v>6761.21</v>
      </c>
      <c r="Z65" s="7">
        <v>4368579.0</v>
      </c>
      <c r="AA65" s="12">
        <f t="shared" si="6"/>
        <v>1.547690908</v>
      </c>
      <c r="AB65" s="10">
        <v>3594.0</v>
      </c>
    </row>
    <row r="66" ht="12.0" customHeight="1">
      <c r="A66" s="6">
        <v>45012.0</v>
      </c>
      <c r="B66" s="6">
        <v>45018.0</v>
      </c>
      <c r="C66" s="7">
        <v>13.0</v>
      </c>
      <c r="D66" s="7">
        <v>2023.0</v>
      </c>
      <c r="E66" s="11">
        <v>78221.5</v>
      </c>
      <c r="F66" s="7">
        <v>115192.0</v>
      </c>
      <c r="G66" s="7">
        <v>157024.0</v>
      </c>
      <c r="H66" s="7">
        <f t="shared" si="1"/>
        <v>272216</v>
      </c>
      <c r="I66" s="11">
        <v>7424.46</v>
      </c>
      <c r="J66" s="7">
        <v>51027.0</v>
      </c>
      <c r="K66" s="9">
        <f t="shared" si="2"/>
        <v>0.1455006173</v>
      </c>
      <c r="L66" s="7">
        <v>42772.0</v>
      </c>
      <c r="M66" s="11">
        <v>30409.94</v>
      </c>
      <c r="N66" s="7">
        <v>46740.0</v>
      </c>
      <c r="O66" s="9">
        <f t="shared" si="3"/>
        <v>0.6506191699</v>
      </c>
      <c r="P66" s="7">
        <v>34478.0</v>
      </c>
      <c r="Q66" s="11">
        <v>30410.33</v>
      </c>
      <c r="R66" s="7">
        <v>1.9606975E7</v>
      </c>
      <c r="S66" s="9">
        <f t="shared" si="4"/>
        <v>1.5509955</v>
      </c>
      <c r="T66" s="7">
        <v>72192.0</v>
      </c>
      <c r="U66" s="11">
        <v>1687.4</v>
      </c>
      <c r="V66" s="7">
        <v>27973.0</v>
      </c>
      <c r="W66" s="12">
        <f t="shared" si="5"/>
        <v>0.06032245379</v>
      </c>
      <c r="X66" s="10">
        <v>6225.0</v>
      </c>
      <c r="Y66" s="11">
        <v>8289.37</v>
      </c>
      <c r="Z66" s="7">
        <v>5650210.0</v>
      </c>
      <c r="AA66" s="12">
        <f t="shared" si="6"/>
        <v>1.467090604</v>
      </c>
      <c r="AB66" s="10">
        <v>7582.0</v>
      </c>
    </row>
    <row r="67" ht="12.0" customHeight="1">
      <c r="A67" s="6">
        <v>45019.0</v>
      </c>
      <c r="B67" s="6">
        <v>45025.0</v>
      </c>
      <c r="C67" s="7">
        <v>14.0</v>
      </c>
      <c r="D67" s="7">
        <v>2023.0</v>
      </c>
      <c r="E67" s="11">
        <v>73794.56000000001</v>
      </c>
      <c r="F67" s="7">
        <v>112686.0</v>
      </c>
      <c r="G67" s="7">
        <v>149209.0</v>
      </c>
      <c r="H67" s="7">
        <f t="shared" si="1"/>
        <v>261895</v>
      </c>
      <c r="I67" s="11">
        <v>6572.76</v>
      </c>
      <c r="J67" s="7">
        <v>50344.0</v>
      </c>
      <c r="K67" s="9">
        <f t="shared" si="2"/>
        <v>0.1305569681</v>
      </c>
      <c r="L67" s="7">
        <v>41867.0</v>
      </c>
      <c r="M67" s="11">
        <v>33979.01</v>
      </c>
      <c r="N67" s="7">
        <v>41914.0</v>
      </c>
      <c r="O67" s="9">
        <f t="shared" si="3"/>
        <v>0.8106840197</v>
      </c>
      <c r="P67" s="7">
        <v>31363.0</v>
      </c>
      <c r="Q67" s="11">
        <v>25309.43</v>
      </c>
      <c r="R67" s="7">
        <v>1.7275219E7</v>
      </c>
      <c r="S67" s="9">
        <f t="shared" si="4"/>
        <v>1.465071441</v>
      </c>
      <c r="T67" s="7">
        <v>70004.0</v>
      </c>
      <c r="U67" s="11">
        <v>1725.33</v>
      </c>
      <c r="V67" s="7">
        <v>26221.0</v>
      </c>
      <c r="W67" s="12">
        <f t="shared" si="5"/>
        <v>0.06579954998</v>
      </c>
      <c r="X67" s="10">
        <v>6905.0</v>
      </c>
      <c r="Y67" s="11">
        <v>6208.03</v>
      </c>
      <c r="Z67" s="7">
        <v>4558583.0</v>
      </c>
      <c r="AA67" s="12">
        <f t="shared" si="6"/>
        <v>1.361833271</v>
      </c>
      <c r="AB67" s="10">
        <v>5975.0</v>
      </c>
    </row>
    <row r="68" ht="12.0" customHeight="1">
      <c r="A68" s="6">
        <v>45026.0</v>
      </c>
      <c r="B68" s="6">
        <v>45032.0</v>
      </c>
      <c r="C68" s="7">
        <v>15.0</v>
      </c>
      <c r="D68" s="7">
        <v>2023.0</v>
      </c>
      <c r="E68" s="11">
        <v>75734.02</v>
      </c>
      <c r="F68" s="7">
        <v>136597.0</v>
      </c>
      <c r="G68" s="7">
        <v>168464.0</v>
      </c>
      <c r="H68" s="7">
        <f t="shared" si="1"/>
        <v>305061</v>
      </c>
      <c r="I68" s="11">
        <v>6824.89</v>
      </c>
      <c r="J68" s="7">
        <v>55417.0</v>
      </c>
      <c r="K68" s="9">
        <f t="shared" si="2"/>
        <v>0.123155169</v>
      </c>
      <c r="L68" s="7">
        <v>44329.0</v>
      </c>
      <c r="M68" s="11">
        <v>34941.97</v>
      </c>
      <c r="N68" s="7">
        <v>44306.0</v>
      </c>
      <c r="O68" s="9">
        <f t="shared" si="3"/>
        <v>0.7886509728</v>
      </c>
      <c r="P68" s="7">
        <v>34040.0</v>
      </c>
      <c r="Q68" s="11">
        <v>30046.3</v>
      </c>
      <c r="R68" s="7">
        <v>2.1556985E7</v>
      </c>
      <c r="S68" s="9">
        <f t="shared" si="4"/>
        <v>1.393808086</v>
      </c>
      <c r="T68" s="7">
        <v>87232.0</v>
      </c>
      <c r="U68" s="11">
        <v>1812.82</v>
      </c>
      <c r="V68" s="7">
        <v>29249.0</v>
      </c>
      <c r="W68" s="12">
        <f t="shared" si="5"/>
        <v>0.06197887107</v>
      </c>
      <c r="X68" s="10">
        <v>8959.0</v>
      </c>
      <c r="Y68" s="11">
        <v>2108.04</v>
      </c>
      <c r="Z68" s="7">
        <v>1512753.0</v>
      </c>
      <c r="AA68" s="12">
        <f t="shared" si="6"/>
        <v>1.393512358</v>
      </c>
      <c r="AB68" s="10">
        <v>2863.0</v>
      </c>
    </row>
    <row r="69" ht="12.0" customHeight="1">
      <c r="A69" s="6">
        <v>45033.0</v>
      </c>
      <c r="B69" s="6">
        <v>45039.0</v>
      </c>
      <c r="C69" s="7">
        <v>16.0</v>
      </c>
      <c r="D69" s="7">
        <v>2023.0</v>
      </c>
      <c r="E69" s="11">
        <v>91153.98</v>
      </c>
      <c r="F69" s="7">
        <v>105613.0</v>
      </c>
      <c r="G69" s="7">
        <v>185432.0</v>
      </c>
      <c r="H69" s="7">
        <f t="shared" si="1"/>
        <v>291045</v>
      </c>
      <c r="I69" s="11">
        <v>6413.0</v>
      </c>
      <c r="J69" s="7">
        <v>46607.0</v>
      </c>
      <c r="K69" s="9">
        <f t="shared" si="2"/>
        <v>0.1375973566</v>
      </c>
      <c r="L69" s="7">
        <v>39665.0</v>
      </c>
      <c r="M69" s="11">
        <v>41409.25</v>
      </c>
      <c r="N69" s="7">
        <v>45843.0</v>
      </c>
      <c r="O69" s="9">
        <f t="shared" si="3"/>
        <v>0.9032840346</v>
      </c>
      <c r="P69" s="7">
        <v>35195.0</v>
      </c>
      <c r="Q69" s="11">
        <v>39275.03</v>
      </c>
      <c r="R69" s="7">
        <v>2.3334721E7</v>
      </c>
      <c r="S69" s="9">
        <f t="shared" si="4"/>
        <v>1.683115474</v>
      </c>
      <c r="T69" s="7">
        <v>107372.0</v>
      </c>
      <c r="U69" s="11">
        <v>2034.92</v>
      </c>
      <c r="V69" s="7">
        <v>25715.0</v>
      </c>
      <c r="W69" s="12">
        <f t="shared" si="5"/>
        <v>0.07913357962</v>
      </c>
      <c r="X69" s="10">
        <v>9444.0</v>
      </c>
      <c r="Y69" s="11">
        <v>2021.78</v>
      </c>
      <c r="Z69" s="7">
        <v>1501932.0</v>
      </c>
      <c r="AA69" s="12">
        <f t="shared" si="6"/>
        <v>1.346119531</v>
      </c>
      <c r="AB69" s="10">
        <v>3200.0</v>
      </c>
    </row>
    <row r="70" ht="12.0" customHeight="1">
      <c r="A70" s="6">
        <v>45040.0</v>
      </c>
      <c r="B70" s="6">
        <v>45046.0</v>
      </c>
      <c r="C70" s="7">
        <v>17.0</v>
      </c>
      <c r="D70" s="7">
        <v>2023.0</v>
      </c>
      <c r="E70" s="11">
        <v>92444.38</v>
      </c>
      <c r="F70" s="7">
        <v>105633.0</v>
      </c>
      <c r="G70" s="7">
        <v>205570.0</v>
      </c>
      <c r="H70" s="7">
        <f t="shared" si="1"/>
        <v>311203</v>
      </c>
      <c r="I70" s="11">
        <v>7709.81</v>
      </c>
      <c r="J70" s="7">
        <v>50939.0</v>
      </c>
      <c r="K70" s="9">
        <f t="shared" si="2"/>
        <v>0.1513537761</v>
      </c>
      <c r="L70" s="7">
        <v>41817.0</v>
      </c>
      <c r="M70" s="11">
        <v>40668.21</v>
      </c>
      <c r="N70" s="7">
        <v>47412.0</v>
      </c>
      <c r="O70" s="9">
        <f t="shared" si="3"/>
        <v>0.857761959</v>
      </c>
      <c r="P70" s="7">
        <v>38565.0</v>
      </c>
      <c r="Q70" s="11">
        <v>40249.3</v>
      </c>
      <c r="R70" s="7">
        <v>2.5685048E7</v>
      </c>
      <c r="S70" s="9">
        <f t="shared" si="4"/>
        <v>1.567032306</v>
      </c>
      <c r="T70" s="7">
        <v>121944.0</v>
      </c>
      <c r="U70" s="11">
        <v>2065.52</v>
      </c>
      <c r="V70" s="7">
        <v>31306.0</v>
      </c>
      <c r="W70" s="12">
        <f t="shared" si="5"/>
        <v>0.0659784067</v>
      </c>
      <c r="X70" s="10">
        <v>12326.0</v>
      </c>
      <c r="Y70" s="11">
        <v>1751.54</v>
      </c>
      <c r="Z70" s="7">
        <v>1358834.0</v>
      </c>
      <c r="AA70" s="12">
        <f t="shared" si="6"/>
        <v>1.289002189</v>
      </c>
      <c r="AB70" s="10">
        <v>3244.0</v>
      </c>
    </row>
    <row r="71" ht="12.0" customHeight="1">
      <c r="A71" s="6">
        <v>45047.0</v>
      </c>
      <c r="B71" s="6">
        <v>45053.0</v>
      </c>
      <c r="C71" s="7">
        <v>18.0</v>
      </c>
      <c r="D71" s="7">
        <v>2023.0</v>
      </c>
      <c r="E71" s="11">
        <v>91379.21000000002</v>
      </c>
      <c r="F71" s="7">
        <v>105390.0</v>
      </c>
      <c r="G71" s="7">
        <v>192454.0</v>
      </c>
      <c r="H71" s="7">
        <f t="shared" si="1"/>
        <v>297844</v>
      </c>
      <c r="I71" s="11">
        <v>8943.68</v>
      </c>
      <c r="J71" s="7">
        <v>51431.0</v>
      </c>
      <c r="K71" s="9">
        <f t="shared" si="2"/>
        <v>0.1738966771</v>
      </c>
      <c r="L71" s="7">
        <v>39071.0</v>
      </c>
      <c r="M71" s="11">
        <v>38825.58</v>
      </c>
      <c r="N71" s="7">
        <v>45738.0</v>
      </c>
      <c r="O71" s="9">
        <f t="shared" si="3"/>
        <v>0.8488692116</v>
      </c>
      <c r="P71" s="7">
        <v>38319.0</v>
      </c>
      <c r="Q71" s="11">
        <v>40152.88</v>
      </c>
      <c r="R71" s="7">
        <v>2.5824631E7</v>
      </c>
      <c r="S71" s="9">
        <f t="shared" si="4"/>
        <v>1.554828799</v>
      </c>
      <c r="T71" s="7">
        <v>112601.0</v>
      </c>
      <c r="U71" s="11">
        <v>2101.46</v>
      </c>
      <c r="V71" s="7">
        <v>33150.0</v>
      </c>
      <c r="W71" s="12">
        <f t="shared" si="5"/>
        <v>0.06339245852</v>
      </c>
      <c r="X71" s="10">
        <v>11652.0</v>
      </c>
      <c r="Y71" s="11">
        <v>1355.61</v>
      </c>
      <c r="Z71" s="7">
        <v>1214499.0</v>
      </c>
      <c r="AA71" s="12">
        <f t="shared" si="6"/>
        <v>1.116188651</v>
      </c>
      <c r="AB71" s="10">
        <v>2463.0</v>
      </c>
    </row>
    <row r="72" ht="12.0" customHeight="1">
      <c r="A72" s="6">
        <v>45054.0</v>
      </c>
      <c r="B72" s="6">
        <v>45060.0</v>
      </c>
      <c r="C72" s="7">
        <v>19.0</v>
      </c>
      <c r="D72" s="7">
        <v>2023.0</v>
      </c>
      <c r="E72" s="11">
        <v>93884.22999999998</v>
      </c>
      <c r="F72" s="7">
        <v>104896.0</v>
      </c>
      <c r="G72" s="7">
        <v>175738.0</v>
      </c>
      <c r="H72" s="7">
        <f t="shared" si="1"/>
        <v>280634</v>
      </c>
      <c r="I72" s="11">
        <v>9895.5</v>
      </c>
      <c r="J72" s="7">
        <v>49746.0</v>
      </c>
      <c r="K72" s="9">
        <f t="shared" si="2"/>
        <v>0.1989205162</v>
      </c>
      <c r="L72" s="7">
        <v>38495.0</v>
      </c>
      <c r="M72" s="11">
        <v>42514.49</v>
      </c>
      <c r="N72" s="7">
        <v>47636.0</v>
      </c>
      <c r="O72" s="9">
        <f t="shared" si="3"/>
        <v>0.8924865648</v>
      </c>
      <c r="P72" s="7">
        <v>37829.0</v>
      </c>
      <c r="Q72" s="11">
        <v>37673.87</v>
      </c>
      <c r="R72" s="7">
        <v>2.1052586E7</v>
      </c>
      <c r="S72" s="9">
        <f t="shared" si="4"/>
        <v>1.789512699</v>
      </c>
      <c r="T72" s="7">
        <v>96800.0</v>
      </c>
      <c r="U72" s="11">
        <v>2109.15</v>
      </c>
      <c r="V72" s="7">
        <v>26063.0</v>
      </c>
      <c r="W72" s="12">
        <f t="shared" si="5"/>
        <v>0.08092506619</v>
      </c>
      <c r="X72" s="10">
        <v>11043.0</v>
      </c>
      <c r="Y72" s="11">
        <v>1691.22</v>
      </c>
      <c r="Z72" s="7">
        <v>1388426.0</v>
      </c>
      <c r="AA72" s="12">
        <f t="shared" si="6"/>
        <v>1.218084363</v>
      </c>
      <c r="AB72" s="10">
        <v>2614.0</v>
      </c>
    </row>
    <row r="73" ht="12.0" customHeight="1">
      <c r="A73" s="6">
        <v>45061.0</v>
      </c>
      <c r="B73" s="6">
        <v>45067.0</v>
      </c>
      <c r="C73" s="7">
        <v>20.0</v>
      </c>
      <c r="D73" s="7">
        <v>2023.0</v>
      </c>
      <c r="E73" s="11">
        <v>82904.83000000002</v>
      </c>
      <c r="F73" s="7">
        <v>104399.0</v>
      </c>
      <c r="G73" s="7">
        <v>155719.0</v>
      </c>
      <c r="H73" s="7">
        <f t="shared" si="1"/>
        <v>260118</v>
      </c>
      <c r="I73" s="11">
        <v>10390.69</v>
      </c>
      <c r="J73" s="7">
        <v>48166.0</v>
      </c>
      <c r="K73" s="9">
        <f t="shared" si="2"/>
        <v>0.2157266537</v>
      </c>
      <c r="L73" s="7">
        <v>36665.0</v>
      </c>
      <c r="M73" s="11">
        <v>32631.57</v>
      </c>
      <c r="N73" s="7">
        <v>39350.0</v>
      </c>
      <c r="O73" s="9">
        <f t="shared" si="3"/>
        <v>0.829264803</v>
      </c>
      <c r="P73" s="7">
        <v>32428.0</v>
      </c>
      <c r="Q73" s="11">
        <v>34182.03</v>
      </c>
      <c r="R73" s="7">
        <v>1.9274056E7</v>
      </c>
      <c r="S73" s="9">
        <f t="shared" si="4"/>
        <v>1.773473627</v>
      </c>
      <c r="T73" s="7">
        <v>83592.0</v>
      </c>
      <c r="U73" s="11">
        <v>2083.55</v>
      </c>
      <c r="V73" s="7">
        <v>21729.0</v>
      </c>
      <c r="W73" s="12">
        <f t="shared" si="5"/>
        <v>0.0958879838</v>
      </c>
      <c r="X73" s="10">
        <v>8837.0</v>
      </c>
      <c r="Y73" s="11">
        <v>3616.99</v>
      </c>
      <c r="Z73" s="7">
        <v>3760979.0</v>
      </c>
      <c r="AA73" s="12">
        <f t="shared" si="6"/>
        <v>0.9617150215</v>
      </c>
      <c r="AB73" s="10">
        <v>3034.0</v>
      </c>
    </row>
    <row r="74" ht="12.0" customHeight="1">
      <c r="A74" s="6">
        <v>45068.0</v>
      </c>
      <c r="B74" s="6">
        <v>45074.0</v>
      </c>
      <c r="C74" s="7">
        <v>21.0</v>
      </c>
      <c r="D74" s="7">
        <v>2023.0</v>
      </c>
      <c r="E74" s="11">
        <v>75890.92</v>
      </c>
      <c r="F74" s="7">
        <v>109025.0</v>
      </c>
      <c r="G74" s="7">
        <v>151556.0</v>
      </c>
      <c r="H74" s="7">
        <f t="shared" si="1"/>
        <v>260581</v>
      </c>
      <c r="I74" s="11">
        <v>9995.04</v>
      </c>
      <c r="J74" s="7">
        <v>51089.0</v>
      </c>
      <c r="K74" s="9">
        <f t="shared" si="2"/>
        <v>0.1956397659</v>
      </c>
      <c r="L74" s="7">
        <v>38858.0</v>
      </c>
      <c r="M74" s="11">
        <v>29835.38</v>
      </c>
      <c r="N74" s="7">
        <v>38872.0</v>
      </c>
      <c r="O74" s="9">
        <f t="shared" si="3"/>
        <v>0.7675288125</v>
      </c>
      <c r="P74" s="7">
        <v>32886.0</v>
      </c>
      <c r="Q74" s="11">
        <v>32313.73</v>
      </c>
      <c r="R74" s="7">
        <v>1.6754131E7</v>
      </c>
      <c r="S74" s="9">
        <f t="shared" si="4"/>
        <v>1.928702241</v>
      </c>
      <c r="T74" s="7">
        <v>76586.0</v>
      </c>
      <c r="U74" s="11">
        <v>2064.96</v>
      </c>
      <c r="V74" s="7">
        <v>28713.0</v>
      </c>
      <c r="W74" s="12">
        <f t="shared" si="5"/>
        <v>0.07191725003</v>
      </c>
      <c r="X74" s="10">
        <v>9416.0</v>
      </c>
      <c r="Y74" s="11">
        <v>1681.81</v>
      </c>
      <c r="Z74" s="7">
        <v>1319810.0</v>
      </c>
      <c r="AA74" s="12">
        <f t="shared" si="6"/>
        <v>1.274281904</v>
      </c>
      <c r="AB74" s="10">
        <v>3226.0</v>
      </c>
    </row>
    <row r="75" ht="12.0" customHeight="1">
      <c r="A75" s="6">
        <v>45075.0</v>
      </c>
      <c r="B75" s="6">
        <v>45081.0</v>
      </c>
      <c r="C75" s="7">
        <v>22.0</v>
      </c>
      <c r="D75" s="7">
        <v>2023.0</v>
      </c>
      <c r="E75" s="11">
        <v>79800.67</v>
      </c>
      <c r="F75" s="7">
        <v>107642.0</v>
      </c>
      <c r="G75" s="7">
        <v>148365.0</v>
      </c>
      <c r="H75" s="7">
        <f t="shared" si="1"/>
        <v>256007</v>
      </c>
      <c r="I75" s="11">
        <v>13436.54</v>
      </c>
      <c r="J75" s="7">
        <v>51546.0</v>
      </c>
      <c r="K75" s="9">
        <f t="shared" si="2"/>
        <v>0.2606708571</v>
      </c>
      <c r="L75" s="7">
        <v>38350.0</v>
      </c>
      <c r="M75" s="11">
        <v>32283.28</v>
      </c>
      <c r="N75" s="7">
        <v>42081.0</v>
      </c>
      <c r="O75" s="9">
        <f t="shared" si="3"/>
        <v>0.7671699817</v>
      </c>
      <c r="P75" s="7">
        <v>34508.0</v>
      </c>
      <c r="Q75" s="11">
        <v>30413.57</v>
      </c>
      <c r="R75" s="7">
        <v>1.8049812E7</v>
      </c>
      <c r="S75" s="9">
        <f t="shared" si="4"/>
        <v>1.684979877</v>
      </c>
      <c r="T75" s="7">
        <v>72423.0</v>
      </c>
      <c r="U75" s="11">
        <v>2113.28</v>
      </c>
      <c r="V75" s="7">
        <v>24339.0</v>
      </c>
      <c r="W75" s="12">
        <f t="shared" si="5"/>
        <v>0.08682690332</v>
      </c>
      <c r="X75" s="10">
        <v>11653.0</v>
      </c>
      <c r="Y75" s="11">
        <v>1554.0</v>
      </c>
      <c r="Z75" s="7">
        <v>1207891.0</v>
      </c>
      <c r="AA75" s="12">
        <f t="shared" si="6"/>
        <v>1.286539928</v>
      </c>
      <c r="AB75" s="10">
        <v>3084.0</v>
      </c>
    </row>
    <row r="76" ht="12.0" customHeight="1">
      <c r="A76" s="6">
        <v>45082.0</v>
      </c>
      <c r="B76" s="6">
        <v>45088.0</v>
      </c>
      <c r="C76" s="7">
        <v>23.0</v>
      </c>
      <c r="D76" s="7">
        <v>2023.0</v>
      </c>
      <c r="E76" s="11">
        <v>77756.28000000001</v>
      </c>
      <c r="F76" s="7">
        <v>121219.0</v>
      </c>
      <c r="G76" s="7">
        <v>150493.0</v>
      </c>
      <c r="H76" s="7">
        <f t="shared" si="1"/>
        <v>271712</v>
      </c>
      <c r="I76" s="11">
        <v>12732.7</v>
      </c>
      <c r="J76" s="7">
        <v>51304.0</v>
      </c>
      <c r="K76" s="9">
        <f t="shared" si="2"/>
        <v>0.2481814283</v>
      </c>
      <c r="L76" s="7">
        <v>38619.0</v>
      </c>
      <c r="M76" s="11">
        <v>30391.56</v>
      </c>
      <c r="N76" s="7">
        <v>40569.0</v>
      </c>
      <c r="O76" s="9">
        <f t="shared" si="3"/>
        <v>0.7491325889</v>
      </c>
      <c r="P76" s="7">
        <v>33798.0</v>
      </c>
      <c r="Q76" s="11">
        <v>30971.0</v>
      </c>
      <c r="R76" s="7">
        <v>1.8669708E7</v>
      </c>
      <c r="S76" s="9">
        <f t="shared" si="4"/>
        <v>1.658890434</v>
      </c>
      <c r="T76" s="7">
        <v>75414.0</v>
      </c>
      <c r="U76" s="11">
        <v>2121.02</v>
      </c>
      <c r="V76" s="7">
        <v>24161.0</v>
      </c>
      <c r="W76" s="12">
        <f t="shared" si="5"/>
        <v>0.08778692935</v>
      </c>
      <c r="X76" s="10">
        <v>11301.0</v>
      </c>
      <c r="Y76" s="11">
        <v>1540.0</v>
      </c>
      <c r="Z76" s="7">
        <v>1229335.0</v>
      </c>
      <c r="AA76" s="12">
        <f t="shared" si="6"/>
        <v>1.252709798</v>
      </c>
      <c r="AB76" s="10">
        <v>2662.0</v>
      </c>
    </row>
    <row r="77" ht="12.0" customHeight="1">
      <c r="A77" s="6">
        <v>45089.0</v>
      </c>
      <c r="B77" s="6">
        <v>45095.0</v>
      </c>
      <c r="C77" s="7">
        <v>24.0</v>
      </c>
      <c r="D77" s="7">
        <v>2023.0</v>
      </c>
      <c r="E77" s="11">
        <v>69809.8</v>
      </c>
      <c r="F77" s="7">
        <v>130241.0</v>
      </c>
      <c r="G77" s="7">
        <v>134985.0</v>
      </c>
      <c r="H77" s="7">
        <f t="shared" si="1"/>
        <v>265226</v>
      </c>
      <c r="I77" s="11">
        <v>11829.68</v>
      </c>
      <c r="J77" s="7">
        <v>52570.0</v>
      </c>
      <c r="K77" s="9">
        <f t="shared" si="2"/>
        <v>0.2250272018</v>
      </c>
      <c r="L77" s="7">
        <v>39232.0</v>
      </c>
      <c r="M77" s="11">
        <v>26984.26</v>
      </c>
      <c r="N77" s="7">
        <v>35843.0</v>
      </c>
      <c r="O77" s="9">
        <f t="shared" si="3"/>
        <v>0.7528460229</v>
      </c>
      <c r="P77" s="7">
        <v>27522.0</v>
      </c>
      <c r="Q77" s="11">
        <v>27361.0</v>
      </c>
      <c r="R77" s="7">
        <v>1.6414245E7</v>
      </c>
      <c r="S77" s="9">
        <f t="shared" si="4"/>
        <v>1.666905788</v>
      </c>
      <c r="T77" s="7">
        <v>65888.0</v>
      </c>
      <c r="U77" s="11">
        <v>2094.86</v>
      </c>
      <c r="V77" s="7">
        <v>20702.0</v>
      </c>
      <c r="W77" s="12">
        <f t="shared" si="5"/>
        <v>0.1011911893</v>
      </c>
      <c r="X77" s="10">
        <v>9326.0</v>
      </c>
      <c r="Y77" s="11">
        <v>1540.0</v>
      </c>
      <c r="Z77" s="7">
        <v>1164429.0</v>
      </c>
      <c r="AA77" s="12">
        <f t="shared" si="6"/>
        <v>1.322536625</v>
      </c>
      <c r="AB77" s="10">
        <v>2343.0</v>
      </c>
    </row>
    <row r="78" ht="12.0" customHeight="1">
      <c r="A78" s="6">
        <v>45096.0</v>
      </c>
      <c r="B78" s="6">
        <v>45102.0</v>
      </c>
      <c r="C78" s="7">
        <v>25.0</v>
      </c>
      <c r="D78" s="7">
        <v>2023.0</v>
      </c>
      <c r="E78" s="11">
        <v>68217.53</v>
      </c>
      <c r="F78" s="7">
        <v>153210.0</v>
      </c>
      <c r="G78" s="7">
        <v>145855.0</v>
      </c>
      <c r="H78" s="7">
        <f t="shared" si="1"/>
        <v>299065</v>
      </c>
      <c r="I78" s="11">
        <v>11238.14</v>
      </c>
      <c r="J78" s="7">
        <v>55467.0</v>
      </c>
      <c r="K78" s="9">
        <f t="shared" si="2"/>
        <v>0.2026094795</v>
      </c>
      <c r="L78" s="7">
        <v>42982.0</v>
      </c>
      <c r="M78" s="11">
        <v>28144.84</v>
      </c>
      <c r="N78" s="7">
        <v>38211.0</v>
      </c>
      <c r="O78" s="9">
        <f t="shared" si="3"/>
        <v>0.7365638167</v>
      </c>
      <c r="P78" s="7">
        <v>31284.0</v>
      </c>
      <c r="Q78" s="11">
        <v>25107.0</v>
      </c>
      <c r="R78" s="7">
        <v>1.4532375E7</v>
      </c>
      <c r="S78" s="9">
        <f t="shared" si="4"/>
        <v>1.727659794</v>
      </c>
      <c r="T78" s="7">
        <v>69543.0</v>
      </c>
      <c r="U78" s="11">
        <v>2187.55</v>
      </c>
      <c r="V78" s="7">
        <v>22949.0</v>
      </c>
      <c r="W78" s="12">
        <f t="shared" si="5"/>
        <v>0.09532223626</v>
      </c>
      <c r="X78" s="10">
        <v>9502.0</v>
      </c>
      <c r="Y78" s="11">
        <v>1540.0</v>
      </c>
      <c r="Z78" s="7">
        <v>950444.0</v>
      </c>
      <c r="AA78" s="12">
        <f t="shared" si="6"/>
        <v>1.620295357</v>
      </c>
      <c r="AB78" s="10">
        <v>2046.0</v>
      </c>
    </row>
    <row r="79" ht="12.0" customHeight="1">
      <c r="A79" s="6">
        <v>45103.0</v>
      </c>
      <c r="B79" s="6">
        <v>45109.0</v>
      </c>
      <c r="C79" s="7">
        <v>26.0</v>
      </c>
      <c r="D79" s="7">
        <v>2023.0</v>
      </c>
      <c r="E79" s="11">
        <v>60069.3</v>
      </c>
      <c r="F79" s="7">
        <v>145150.0</v>
      </c>
      <c r="G79" s="7">
        <v>136588.0</v>
      </c>
      <c r="H79" s="7">
        <f t="shared" si="1"/>
        <v>281738</v>
      </c>
      <c r="I79" s="11">
        <v>11225.06</v>
      </c>
      <c r="J79" s="7">
        <v>54015.0</v>
      </c>
      <c r="K79" s="9">
        <f t="shared" si="2"/>
        <v>0.2078137554</v>
      </c>
      <c r="L79" s="7">
        <v>41796.0</v>
      </c>
      <c r="M79" s="11">
        <v>23184.86</v>
      </c>
      <c r="N79" s="7">
        <v>32524.0</v>
      </c>
      <c r="O79" s="9">
        <f t="shared" si="3"/>
        <v>0.7128538925</v>
      </c>
      <c r="P79" s="7">
        <v>28129.0</v>
      </c>
      <c r="Q79" s="11">
        <v>22069.0</v>
      </c>
      <c r="R79" s="7">
        <v>1.2985744E7</v>
      </c>
      <c r="S79" s="9">
        <f t="shared" si="4"/>
        <v>1.699479059</v>
      </c>
      <c r="T79" s="7">
        <v>64682.0</v>
      </c>
      <c r="U79" s="11">
        <v>2050.38</v>
      </c>
      <c r="V79" s="7">
        <v>24094.0</v>
      </c>
      <c r="W79" s="12">
        <f t="shared" si="5"/>
        <v>0.08509919482</v>
      </c>
      <c r="X79" s="10">
        <v>8752.0</v>
      </c>
      <c r="Y79" s="11">
        <v>1540.0</v>
      </c>
      <c r="Z79" s="7">
        <v>1027483.0</v>
      </c>
      <c r="AA79" s="12">
        <f t="shared" si="6"/>
        <v>1.498808253</v>
      </c>
      <c r="AB79" s="10">
        <v>1981.0</v>
      </c>
    </row>
    <row r="80" ht="12.0" customHeight="1">
      <c r="A80" s="6">
        <v>45110.0</v>
      </c>
      <c r="B80" s="6">
        <v>45116.0</v>
      </c>
      <c r="C80" s="7">
        <v>27.0</v>
      </c>
      <c r="D80" s="7">
        <v>2023.0</v>
      </c>
      <c r="E80" s="11">
        <v>57618.44</v>
      </c>
      <c r="F80" s="7">
        <v>147333.0</v>
      </c>
      <c r="G80" s="7">
        <v>134234.0</v>
      </c>
      <c r="H80" s="7">
        <f t="shared" si="1"/>
        <v>281567</v>
      </c>
      <c r="I80" s="11">
        <v>11061.48</v>
      </c>
      <c r="J80" s="7">
        <v>57944.0</v>
      </c>
      <c r="K80" s="9">
        <f t="shared" si="2"/>
        <v>0.1908994892</v>
      </c>
      <c r="L80" s="7">
        <v>44928.0</v>
      </c>
      <c r="M80" s="11">
        <v>23952.31</v>
      </c>
      <c r="N80" s="7">
        <v>31421.0</v>
      </c>
      <c r="O80" s="9">
        <f t="shared" si="3"/>
        <v>0.7623026002</v>
      </c>
      <c r="P80" s="7">
        <v>27506.0</v>
      </c>
      <c r="Q80" s="11">
        <v>19031.0</v>
      </c>
      <c r="R80" s="7">
        <v>1.1676452E7</v>
      </c>
      <c r="S80" s="9">
        <f t="shared" si="4"/>
        <v>1.629861537</v>
      </c>
      <c r="T80" s="7">
        <v>59462.0</v>
      </c>
      <c r="U80" s="11">
        <v>1903.65</v>
      </c>
      <c r="V80" s="7">
        <v>23798.0</v>
      </c>
      <c r="W80" s="12">
        <f t="shared" si="5"/>
        <v>0.07999201614</v>
      </c>
      <c r="X80" s="10">
        <v>8610.0</v>
      </c>
      <c r="Y80" s="11">
        <v>1670.0</v>
      </c>
      <c r="Z80" s="7">
        <v>1216331.0</v>
      </c>
      <c r="AA80" s="12">
        <f t="shared" si="6"/>
        <v>1.372981532</v>
      </c>
      <c r="AB80" s="10">
        <v>2338.0</v>
      </c>
    </row>
    <row r="81" ht="12.0" customHeight="1">
      <c r="A81" s="6">
        <v>45117.0</v>
      </c>
      <c r="B81" s="6">
        <v>45123.0</v>
      </c>
      <c r="C81" s="7">
        <v>28.0</v>
      </c>
      <c r="D81" s="7">
        <v>2023.0</v>
      </c>
      <c r="E81" s="11">
        <v>55655.48</v>
      </c>
      <c r="F81" s="7">
        <v>140492.0</v>
      </c>
      <c r="G81" s="7">
        <v>135558.0</v>
      </c>
      <c r="H81" s="7">
        <f t="shared" si="1"/>
        <v>276050</v>
      </c>
      <c r="I81" s="11">
        <v>10126.01</v>
      </c>
      <c r="J81" s="7">
        <v>55590.0</v>
      </c>
      <c r="K81" s="9">
        <f t="shared" si="2"/>
        <v>0.1821552437</v>
      </c>
      <c r="L81" s="7">
        <v>42894.0</v>
      </c>
      <c r="M81" s="11">
        <v>23854.8</v>
      </c>
      <c r="N81" s="7">
        <v>30678.0</v>
      </c>
      <c r="O81" s="9">
        <f t="shared" si="3"/>
        <v>0.7775865441</v>
      </c>
      <c r="P81" s="7">
        <v>26677.0</v>
      </c>
      <c r="Q81" s="11">
        <v>18244.0</v>
      </c>
      <c r="R81" s="7">
        <v>1.1357707E7</v>
      </c>
      <c r="S81" s="9">
        <f t="shared" si="4"/>
        <v>1.606310147</v>
      </c>
      <c r="T81" s="7">
        <v>62209.0</v>
      </c>
      <c r="U81" s="11">
        <v>1750.67</v>
      </c>
      <c r="V81" s="7">
        <v>22019.0</v>
      </c>
      <c r="W81" s="12">
        <f t="shared" si="5"/>
        <v>0.07950724374</v>
      </c>
      <c r="X81" s="10">
        <v>10583.0</v>
      </c>
      <c r="Y81" s="11">
        <v>1680.0</v>
      </c>
      <c r="Z81" s="7">
        <v>1228592.0</v>
      </c>
      <c r="AA81" s="12">
        <f t="shared" si="6"/>
        <v>1.367418964</v>
      </c>
      <c r="AB81" s="10">
        <v>3778.0</v>
      </c>
    </row>
    <row r="82" ht="12.0" customHeight="1">
      <c r="A82" s="6">
        <v>45124.0</v>
      </c>
      <c r="B82" s="6">
        <v>45130.0</v>
      </c>
      <c r="C82" s="7">
        <v>29.0</v>
      </c>
      <c r="D82" s="7">
        <v>2023.0</v>
      </c>
      <c r="E82" s="11">
        <v>52836.78</v>
      </c>
      <c r="F82" s="7">
        <v>136249.0</v>
      </c>
      <c r="G82" s="7">
        <v>137716.0</v>
      </c>
      <c r="H82" s="7">
        <f t="shared" si="1"/>
        <v>273965</v>
      </c>
      <c r="I82" s="11">
        <v>10566.26</v>
      </c>
      <c r="J82" s="7">
        <v>56058.0</v>
      </c>
      <c r="K82" s="9">
        <f t="shared" si="2"/>
        <v>0.1884879946</v>
      </c>
      <c r="L82" s="7">
        <v>43420.0</v>
      </c>
      <c r="M82" s="11">
        <v>20988.42</v>
      </c>
      <c r="N82" s="7">
        <v>28719.0</v>
      </c>
      <c r="O82" s="9">
        <f t="shared" si="3"/>
        <v>0.7308200146</v>
      </c>
      <c r="P82" s="7">
        <v>26976.0</v>
      </c>
      <c r="Q82" s="11">
        <v>17801.0</v>
      </c>
      <c r="R82" s="7">
        <v>1.1647007E7</v>
      </c>
      <c r="S82" s="9">
        <f t="shared" si="4"/>
        <v>1.528375487</v>
      </c>
      <c r="T82" s="7">
        <v>64242.0</v>
      </c>
      <c r="U82" s="11">
        <v>1801.1</v>
      </c>
      <c r="V82" s="7">
        <v>20194.0</v>
      </c>
      <c r="W82" s="12">
        <f t="shared" si="5"/>
        <v>0.08918985837</v>
      </c>
      <c r="X82" s="10">
        <v>10789.0</v>
      </c>
      <c r="Y82" s="11">
        <v>1680.0</v>
      </c>
      <c r="Z82" s="7">
        <v>1208037.0</v>
      </c>
      <c r="AA82" s="12">
        <f t="shared" si="6"/>
        <v>1.390685881</v>
      </c>
      <c r="AB82" s="10">
        <v>3078.0</v>
      </c>
    </row>
    <row r="83" ht="12.0" customHeight="1">
      <c r="A83" s="6">
        <v>45131.0</v>
      </c>
      <c r="B83" s="6">
        <v>45137.0</v>
      </c>
      <c r="C83" s="7">
        <v>30.0</v>
      </c>
      <c r="D83" s="7">
        <v>2023.0</v>
      </c>
      <c r="E83" s="11">
        <v>49251.96000000001</v>
      </c>
      <c r="F83" s="7">
        <v>146057.0</v>
      </c>
      <c r="G83" s="7">
        <v>141052.0</v>
      </c>
      <c r="H83" s="7">
        <f t="shared" si="1"/>
        <v>287109</v>
      </c>
      <c r="I83" s="11">
        <v>8252.37</v>
      </c>
      <c r="J83" s="7">
        <v>58215.0</v>
      </c>
      <c r="K83" s="9">
        <f t="shared" si="2"/>
        <v>0.1417567637</v>
      </c>
      <c r="L83" s="7">
        <v>46084.0</v>
      </c>
      <c r="M83" s="11">
        <v>19999.97</v>
      </c>
      <c r="N83" s="7">
        <v>30209.0</v>
      </c>
      <c r="O83" s="9">
        <f t="shared" si="3"/>
        <v>0.6620533616</v>
      </c>
      <c r="P83" s="7">
        <v>27631.0</v>
      </c>
      <c r="Q83" s="11">
        <v>17360.0</v>
      </c>
      <c r="R83" s="7">
        <v>1.1853728E7</v>
      </c>
      <c r="S83" s="9">
        <f t="shared" si="4"/>
        <v>1.464518167</v>
      </c>
      <c r="T83" s="7">
        <v>64337.0</v>
      </c>
      <c r="U83" s="11">
        <v>1994.62</v>
      </c>
      <c r="V83" s="7">
        <v>21552.0</v>
      </c>
      <c r="W83" s="12">
        <f t="shared" si="5"/>
        <v>0.09254918337</v>
      </c>
      <c r="X83" s="10">
        <v>11733.0</v>
      </c>
      <c r="Y83" s="11">
        <v>1645.0</v>
      </c>
      <c r="Z83" s="7">
        <v>1232546.0</v>
      </c>
      <c r="AA83" s="12">
        <f t="shared" si="6"/>
        <v>1.334635786</v>
      </c>
      <c r="AB83" s="10">
        <v>3000.0</v>
      </c>
    </row>
    <row r="84" ht="12.0" customHeight="1">
      <c r="A84" s="6">
        <v>45138.0</v>
      </c>
      <c r="B84" s="6">
        <v>45144.0</v>
      </c>
      <c r="C84" s="7">
        <v>31.0</v>
      </c>
      <c r="D84" s="7">
        <v>2023.0</v>
      </c>
      <c r="E84" s="11">
        <v>36367.32</v>
      </c>
      <c r="F84" s="7">
        <v>159039.0</v>
      </c>
      <c r="G84" s="7">
        <v>142221.0</v>
      </c>
      <c r="H84" s="7">
        <f t="shared" si="1"/>
        <v>301260</v>
      </c>
      <c r="I84" s="11">
        <v>6108.8</v>
      </c>
      <c r="J84" s="7">
        <v>61901.0</v>
      </c>
      <c r="K84" s="9">
        <f t="shared" si="2"/>
        <v>0.09868661249</v>
      </c>
      <c r="L84" s="7">
        <v>49756.0</v>
      </c>
      <c r="M84" s="11">
        <v>16610.02</v>
      </c>
      <c r="N84" s="7">
        <v>30522.0</v>
      </c>
      <c r="O84" s="9">
        <f t="shared" si="3"/>
        <v>0.5441982832</v>
      </c>
      <c r="P84" s="7">
        <v>28373.0</v>
      </c>
      <c r="Q84" s="11">
        <v>12135.0</v>
      </c>
      <c r="R84" s="7">
        <v>9774531.0</v>
      </c>
      <c r="S84" s="9">
        <f t="shared" si="4"/>
        <v>1.241491791</v>
      </c>
      <c r="T84" s="7">
        <v>61926.0</v>
      </c>
      <c r="U84" s="11">
        <v>785.5</v>
      </c>
      <c r="V84" s="7">
        <v>11545.0</v>
      </c>
      <c r="W84" s="12">
        <f t="shared" si="5"/>
        <v>0.06803811174</v>
      </c>
      <c r="X84" s="10">
        <v>5305.0</v>
      </c>
      <c r="Y84" s="11">
        <v>728.0</v>
      </c>
      <c r="Z84" s="7">
        <v>641541.0</v>
      </c>
      <c r="AA84" s="12">
        <f t="shared" si="6"/>
        <v>1.134767692</v>
      </c>
      <c r="AB84" s="10">
        <v>2166.0</v>
      </c>
    </row>
    <row r="85" ht="12.0" customHeight="1">
      <c r="A85" s="6">
        <v>45145.0</v>
      </c>
      <c r="B85" s="6">
        <v>45151.0</v>
      </c>
      <c r="C85" s="7">
        <v>32.0</v>
      </c>
      <c r="D85" s="7">
        <v>2023.0</v>
      </c>
      <c r="E85" s="11">
        <v>21708.85</v>
      </c>
      <c r="F85" s="7">
        <v>145105.0</v>
      </c>
      <c r="G85" s="7">
        <v>108849.0</v>
      </c>
      <c r="H85" s="7">
        <f t="shared" si="1"/>
        <v>253954</v>
      </c>
      <c r="I85" s="11">
        <v>4833.54</v>
      </c>
      <c r="J85" s="7">
        <v>57503.0</v>
      </c>
      <c r="K85" s="9">
        <f t="shared" si="2"/>
        <v>0.08405717963</v>
      </c>
      <c r="L85" s="7">
        <v>45093.0</v>
      </c>
      <c r="M85" s="11">
        <v>9053.31</v>
      </c>
      <c r="N85" s="7">
        <v>21390.0</v>
      </c>
      <c r="O85" s="9">
        <f t="shared" si="3"/>
        <v>0.4232496494</v>
      </c>
      <c r="P85" s="7">
        <v>19420.0</v>
      </c>
      <c r="Q85" s="11">
        <v>7472.0</v>
      </c>
      <c r="R85" s="7">
        <v>6111799.0</v>
      </c>
      <c r="S85" s="9">
        <f t="shared" si="4"/>
        <v>1.222553294</v>
      </c>
      <c r="T85" s="7">
        <v>43061.0</v>
      </c>
      <c r="U85" s="11">
        <v>0.0</v>
      </c>
      <c r="V85" s="7">
        <v>0.0</v>
      </c>
      <c r="W85" s="12" t="str">
        <f t="shared" si="5"/>
        <v>-</v>
      </c>
      <c r="X85" s="10">
        <v>429.0</v>
      </c>
      <c r="Y85" s="11">
        <v>350.0</v>
      </c>
      <c r="Z85" s="7">
        <v>317911.0</v>
      </c>
      <c r="AA85" s="12">
        <f t="shared" si="6"/>
        <v>1.100937055</v>
      </c>
      <c r="AB85" s="10">
        <v>1275.0</v>
      </c>
    </row>
    <row r="86" ht="12.0" customHeight="1">
      <c r="A86" s="6">
        <v>45152.0</v>
      </c>
      <c r="B86" s="6">
        <v>45158.0</v>
      </c>
      <c r="C86" s="7">
        <v>33.0</v>
      </c>
      <c r="D86" s="7">
        <v>2023.0</v>
      </c>
      <c r="E86" s="11">
        <v>12467.87</v>
      </c>
      <c r="F86" s="7">
        <v>131518.0</v>
      </c>
      <c r="G86" s="7">
        <v>78796.0</v>
      </c>
      <c r="H86" s="7">
        <f t="shared" si="1"/>
        <v>210314</v>
      </c>
      <c r="I86" s="11">
        <v>3506.41</v>
      </c>
      <c r="J86" s="7">
        <v>52713.0</v>
      </c>
      <c r="K86" s="9">
        <f t="shared" si="2"/>
        <v>0.06651888528</v>
      </c>
      <c r="L86" s="7">
        <v>41954.0</v>
      </c>
      <c r="M86" s="11">
        <v>3319.46</v>
      </c>
      <c r="N86" s="7">
        <v>8115.0</v>
      </c>
      <c r="O86" s="9">
        <f t="shared" si="3"/>
        <v>0.4090523722</v>
      </c>
      <c r="P86" s="7">
        <v>8239.0</v>
      </c>
      <c r="Q86" s="11">
        <v>5292.0</v>
      </c>
      <c r="R86" s="7">
        <v>5212860.0</v>
      </c>
      <c r="S86" s="9">
        <f t="shared" si="4"/>
        <v>1.015181685</v>
      </c>
      <c r="T86" s="7">
        <v>27313.0</v>
      </c>
      <c r="U86" s="11">
        <v>0.0</v>
      </c>
      <c r="V86" s="7">
        <v>0.0</v>
      </c>
      <c r="W86" s="12" t="str">
        <f t="shared" si="5"/>
        <v>-</v>
      </c>
      <c r="X86" s="10">
        <v>240.0</v>
      </c>
      <c r="Y86" s="11">
        <v>350.0</v>
      </c>
      <c r="Z86" s="7">
        <v>308151.0</v>
      </c>
      <c r="AA86" s="12">
        <f t="shared" si="6"/>
        <v>1.135806796</v>
      </c>
      <c r="AB86" s="10">
        <v>1290.0</v>
      </c>
    </row>
    <row r="87" ht="12.0" customHeight="1">
      <c r="A87" s="6">
        <v>45159.0</v>
      </c>
      <c r="B87" s="6">
        <v>45165.0</v>
      </c>
      <c r="C87" s="7">
        <v>34.0</v>
      </c>
      <c r="D87" s="7">
        <v>2023.0</v>
      </c>
      <c r="E87" s="11">
        <v>22669.89</v>
      </c>
      <c r="F87" s="7">
        <v>145295.0</v>
      </c>
      <c r="G87" s="7">
        <v>107613.0</v>
      </c>
      <c r="H87" s="7">
        <f t="shared" si="1"/>
        <v>252908</v>
      </c>
      <c r="I87" s="11">
        <v>3312.82</v>
      </c>
      <c r="J87" s="7">
        <v>54621.0</v>
      </c>
      <c r="K87" s="9">
        <f t="shared" si="2"/>
        <v>0.06065103165</v>
      </c>
      <c r="L87" s="7">
        <v>43342.0</v>
      </c>
      <c r="M87" s="11">
        <v>9454.07</v>
      </c>
      <c r="N87" s="7">
        <v>24407.0</v>
      </c>
      <c r="O87" s="9">
        <f t="shared" si="3"/>
        <v>0.38735076</v>
      </c>
      <c r="P87" s="7">
        <v>21672.0</v>
      </c>
      <c r="Q87" s="11">
        <v>9554.0</v>
      </c>
      <c r="R87" s="7">
        <v>8727794.0</v>
      </c>
      <c r="S87" s="9">
        <f t="shared" si="4"/>
        <v>1.094663783</v>
      </c>
      <c r="T87" s="7">
        <v>41549.0</v>
      </c>
      <c r="U87" s="11">
        <v>0.0</v>
      </c>
      <c r="V87" s="7">
        <v>0.0</v>
      </c>
      <c r="W87" s="12" t="str">
        <f t="shared" si="5"/>
        <v>-</v>
      </c>
      <c r="X87" s="10">
        <v>253.0</v>
      </c>
      <c r="Y87" s="11">
        <v>349.0</v>
      </c>
      <c r="Z87" s="7">
        <v>304167.0</v>
      </c>
      <c r="AA87" s="12">
        <f t="shared" si="6"/>
        <v>1.147396003</v>
      </c>
      <c r="AB87" s="10">
        <v>1050.0</v>
      </c>
    </row>
    <row r="88" ht="12.0" customHeight="1">
      <c r="A88" s="6">
        <v>45166.0</v>
      </c>
      <c r="B88" s="6">
        <v>45172.0</v>
      </c>
      <c r="C88" s="7">
        <v>35.0</v>
      </c>
      <c r="D88" s="7">
        <v>2023.0</v>
      </c>
      <c r="E88" s="11">
        <v>27137.92</v>
      </c>
      <c r="F88" s="7">
        <v>131862.0</v>
      </c>
      <c r="G88" s="7">
        <v>117203.0</v>
      </c>
      <c r="H88" s="7">
        <f t="shared" si="1"/>
        <v>249065</v>
      </c>
      <c r="I88" s="11">
        <v>3395.87</v>
      </c>
      <c r="J88" s="7">
        <v>47314.0</v>
      </c>
      <c r="K88" s="9">
        <f t="shared" si="2"/>
        <v>0.07177304815</v>
      </c>
      <c r="L88" s="7">
        <v>38116.0</v>
      </c>
      <c r="M88" s="11">
        <v>11664.05</v>
      </c>
      <c r="N88" s="7">
        <v>25529.0</v>
      </c>
      <c r="O88" s="9">
        <f t="shared" si="3"/>
        <v>0.4568941204</v>
      </c>
      <c r="P88" s="7">
        <v>22409.0</v>
      </c>
      <c r="Q88" s="11">
        <v>11728.0</v>
      </c>
      <c r="R88" s="7">
        <v>1.0478745E7</v>
      </c>
      <c r="S88" s="9">
        <f t="shared" si="4"/>
        <v>1.119217998</v>
      </c>
      <c r="T88" s="7">
        <v>55838.0</v>
      </c>
      <c r="U88" s="11">
        <v>0.0</v>
      </c>
      <c r="V88" s="7">
        <v>0.0</v>
      </c>
      <c r="W88" s="12" t="str">
        <f t="shared" si="5"/>
        <v>-</v>
      </c>
      <c r="X88" s="10">
        <v>234.0</v>
      </c>
      <c r="Y88" s="11">
        <v>350.0</v>
      </c>
      <c r="Z88" s="7">
        <v>336192.0</v>
      </c>
      <c r="AA88" s="12">
        <f t="shared" si="6"/>
        <v>1.041071769</v>
      </c>
      <c r="AB88" s="10">
        <v>840.0</v>
      </c>
    </row>
    <row r="89" ht="12.0" customHeight="1">
      <c r="A89" s="6">
        <v>45173.0</v>
      </c>
      <c r="B89" s="6">
        <v>45179.0</v>
      </c>
      <c r="C89" s="7">
        <v>36.0</v>
      </c>
      <c r="D89" s="7">
        <v>2023.0</v>
      </c>
      <c r="E89" s="11">
        <v>34131.32</v>
      </c>
      <c r="F89" s="7">
        <v>121203.0</v>
      </c>
      <c r="G89" s="7">
        <v>119377.0</v>
      </c>
      <c r="H89" s="7">
        <f t="shared" si="1"/>
        <v>240580</v>
      </c>
      <c r="I89" s="11">
        <v>3214.5</v>
      </c>
      <c r="J89" s="7">
        <v>40698.0</v>
      </c>
      <c r="K89" s="9">
        <f t="shared" si="2"/>
        <v>0.07898422527</v>
      </c>
      <c r="L89" s="7">
        <v>33414.0</v>
      </c>
      <c r="M89" s="11">
        <v>14110.39</v>
      </c>
      <c r="N89" s="7">
        <v>28001.0</v>
      </c>
      <c r="O89" s="9">
        <f t="shared" si="3"/>
        <v>0.5039245027</v>
      </c>
      <c r="P89" s="7">
        <v>25298.0</v>
      </c>
      <c r="Q89" s="11">
        <v>15604.0</v>
      </c>
      <c r="R89" s="7">
        <v>1.2016611E7</v>
      </c>
      <c r="S89" s="9">
        <f t="shared" si="4"/>
        <v>1.298535835</v>
      </c>
      <c r="T89" s="7">
        <v>59416.0</v>
      </c>
      <c r="U89" s="11">
        <v>220.43</v>
      </c>
      <c r="V89" s="7">
        <v>1241.0</v>
      </c>
      <c r="W89" s="12">
        <f t="shared" si="5"/>
        <v>0.1776228848</v>
      </c>
      <c r="X89" s="10">
        <v>717.0</v>
      </c>
      <c r="Y89" s="11">
        <v>982.0</v>
      </c>
      <c r="Z89" s="7">
        <v>1304666.0</v>
      </c>
      <c r="AA89" s="12">
        <f t="shared" si="6"/>
        <v>0.7526830622</v>
      </c>
      <c r="AB89" s="10">
        <v>1249.0</v>
      </c>
    </row>
    <row r="90" ht="12.0" customHeight="1">
      <c r="A90" s="6">
        <v>45180.0</v>
      </c>
      <c r="B90" s="6">
        <v>45186.0</v>
      </c>
      <c r="C90" s="7">
        <v>37.0</v>
      </c>
      <c r="D90" s="7">
        <v>2023.0</v>
      </c>
      <c r="E90" s="11">
        <v>44268.66</v>
      </c>
      <c r="F90" s="7">
        <v>132999.0</v>
      </c>
      <c r="G90" s="7">
        <v>119538.0</v>
      </c>
      <c r="H90" s="7">
        <f t="shared" si="1"/>
        <v>252537</v>
      </c>
      <c r="I90" s="11">
        <v>3396.18</v>
      </c>
      <c r="J90" s="7">
        <v>38472.0</v>
      </c>
      <c r="K90" s="9">
        <f t="shared" si="2"/>
        <v>0.08827666875</v>
      </c>
      <c r="L90" s="7">
        <v>29548.0</v>
      </c>
      <c r="M90" s="11">
        <v>18143.62</v>
      </c>
      <c r="N90" s="7">
        <v>31560.0</v>
      </c>
      <c r="O90" s="9">
        <f t="shared" si="3"/>
        <v>0.5748929024</v>
      </c>
      <c r="P90" s="7">
        <v>25498.0</v>
      </c>
      <c r="Q90" s="11">
        <v>21306.0</v>
      </c>
      <c r="R90" s="7">
        <v>1.2754906E7</v>
      </c>
      <c r="S90" s="9">
        <f t="shared" si="4"/>
        <v>1.670416074</v>
      </c>
      <c r="T90" s="7">
        <v>62765.0</v>
      </c>
      <c r="U90" s="11">
        <v>258.86</v>
      </c>
      <c r="V90" s="7">
        <v>1225.0</v>
      </c>
      <c r="W90" s="12">
        <f t="shared" si="5"/>
        <v>0.2113142857</v>
      </c>
      <c r="X90" s="10">
        <v>868.0</v>
      </c>
      <c r="Y90" s="11">
        <v>1164.0</v>
      </c>
      <c r="Z90" s="7">
        <v>1023023.0</v>
      </c>
      <c r="AA90" s="12">
        <f t="shared" si="6"/>
        <v>1.137804331</v>
      </c>
      <c r="AB90" s="10">
        <v>1727.0</v>
      </c>
    </row>
    <row r="91" ht="12.0" customHeight="1">
      <c r="A91" s="6">
        <v>45187.0</v>
      </c>
      <c r="B91" s="6">
        <v>45193.0</v>
      </c>
      <c r="C91" s="7">
        <v>38.0</v>
      </c>
      <c r="D91" s="7">
        <v>2023.0</v>
      </c>
      <c r="E91" s="11">
        <v>43845.31</v>
      </c>
      <c r="F91" s="7">
        <v>115470.0</v>
      </c>
      <c r="G91" s="7">
        <v>119953.0</v>
      </c>
      <c r="H91" s="7">
        <f t="shared" si="1"/>
        <v>235423</v>
      </c>
      <c r="I91" s="11">
        <v>3273.3</v>
      </c>
      <c r="J91" s="7">
        <v>35819.0</v>
      </c>
      <c r="K91" s="9">
        <f t="shared" si="2"/>
        <v>0.09138446076</v>
      </c>
      <c r="L91" s="7">
        <v>28309.0</v>
      </c>
      <c r="M91" s="11">
        <v>17241.33</v>
      </c>
      <c r="N91" s="7">
        <v>27272.0</v>
      </c>
      <c r="O91" s="9">
        <f t="shared" si="3"/>
        <v>0.6321989586</v>
      </c>
      <c r="P91" s="7">
        <v>24412.0</v>
      </c>
      <c r="Q91" s="11">
        <v>22111.76</v>
      </c>
      <c r="R91" s="7">
        <v>1.2699322E7</v>
      </c>
      <c r="S91" s="9">
        <f t="shared" si="4"/>
        <v>1.741176419</v>
      </c>
      <c r="T91" s="7">
        <v>65446.0</v>
      </c>
      <c r="U91" s="11">
        <v>176.8</v>
      </c>
      <c r="V91" s="7">
        <v>1112.0</v>
      </c>
      <c r="W91" s="12">
        <f t="shared" si="5"/>
        <v>0.1589928058</v>
      </c>
      <c r="X91" s="10">
        <v>563.0</v>
      </c>
      <c r="Y91" s="11">
        <v>1042.12</v>
      </c>
      <c r="Z91" s="7">
        <v>860782.0</v>
      </c>
      <c r="AA91" s="12">
        <f t="shared" si="6"/>
        <v>1.21066658</v>
      </c>
      <c r="AB91" s="10">
        <v>1786.0</v>
      </c>
    </row>
    <row r="92" ht="12.0" customHeight="1">
      <c r="A92" s="6">
        <v>45194.0</v>
      </c>
      <c r="B92" s="6">
        <v>45200.0</v>
      </c>
      <c r="C92" s="7">
        <v>39.0</v>
      </c>
      <c r="D92" s="7">
        <v>2023.0</v>
      </c>
      <c r="E92" s="11">
        <v>50738.07999999999</v>
      </c>
      <c r="F92" s="7">
        <v>119783.0</v>
      </c>
      <c r="G92" s="7">
        <v>112793.0</v>
      </c>
      <c r="H92" s="7">
        <f t="shared" si="1"/>
        <v>232576</v>
      </c>
      <c r="I92" s="11">
        <v>3177.29</v>
      </c>
      <c r="J92" s="7">
        <v>35422.0</v>
      </c>
      <c r="K92" s="9">
        <f t="shared" si="2"/>
        <v>0.08969821015</v>
      </c>
      <c r="L92" s="7">
        <v>26712.0</v>
      </c>
      <c r="M92" s="11">
        <v>17747.96</v>
      </c>
      <c r="N92" s="7">
        <v>26790.0</v>
      </c>
      <c r="O92" s="9">
        <f t="shared" si="3"/>
        <v>0.6624845091</v>
      </c>
      <c r="P92" s="7">
        <v>22428.0</v>
      </c>
      <c r="Q92" s="11">
        <v>25923.53</v>
      </c>
      <c r="R92" s="7">
        <v>1.3727455E7</v>
      </c>
      <c r="S92" s="9">
        <f t="shared" si="4"/>
        <v>1.888443998</v>
      </c>
      <c r="T92" s="7">
        <v>60784.0</v>
      </c>
      <c r="U92" s="11">
        <v>1817.2</v>
      </c>
      <c r="V92" s="7">
        <v>5393.0</v>
      </c>
      <c r="W92" s="12">
        <f t="shared" si="5"/>
        <v>0.3369553124</v>
      </c>
      <c r="X92" s="10">
        <v>2172.0</v>
      </c>
      <c r="Y92" s="11">
        <v>2072.1</v>
      </c>
      <c r="Z92" s="7">
        <v>1693052.0</v>
      </c>
      <c r="AA92" s="12">
        <f t="shared" si="6"/>
        <v>1.223884441</v>
      </c>
      <c r="AB92" s="10">
        <v>2869.0</v>
      </c>
    </row>
    <row r="93" ht="12.0" customHeight="1">
      <c r="A93" s="6">
        <v>45201.0</v>
      </c>
      <c r="B93" s="6">
        <v>45207.0</v>
      </c>
      <c r="C93" s="7">
        <v>40.0</v>
      </c>
      <c r="D93" s="7">
        <v>2023.0</v>
      </c>
      <c r="E93" s="11">
        <v>57989.24</v>
      </c>
      <c r="F93" s="7">
        <v>107982.0</v>
      </c>
      <c r="G93" s="7">
        <v>117769.0</v>
      </c>
      <c r="H93" s="7">
        <f t="shared" si="1"/>
        <v>225751</v>
      </c>
      <c r="I93" s="11">
        <v>2907.03</v>
      </c>
      <c r="J93" s="7">
        <v>33258.0</v>
      </c>
      <c r="K93" s="9">
        <f t="shared" si="2"/>
        <v>0.08740844308</v>
      </c>
      <c r="L93" s="7">
        <v>25855.0</v>
      </c>
      <c r="M93" s="11">
        <v>19801.82</v>
      </c>
      <c r="N93" s="7">
        <v>26547.0</v>
      </c>
      <c r="O93" s="9">
        <f t="shared" si="3"/>
        <v>0.745915546</v>
      </c>
      <c r="P93" s="7">
        <v>22574.0</v>
      </c>
      <c r="Q93" s="11">
        <v>30610.0</v>
      </c>
      <c r="R93" s="7">
        <v>1.7948069E7</v>
      </c>
      <c r="S93" s="9">
        <f t="shared" si="4"/>
        <v>1.705475948</v>
      </c>
      <c r="T93" s="7">
        <v>66103.0</v>
      </c>
      <c r="U93" s="11">
        <v>1440.75</v>
      </c>
      <c r="V93" s="7">
        <v>15257.0</v>
      </c>
      <c r="W93" s="12">
        <f t="shared" si="5"/>
        <v>0.09443206397</v>
      </c>
      <c r="X93" s="10">
        <v>3878.0</v>
      </c>
      <c r="Y93" s="11">
        <v>3229.64</v>
      </c>
      <c r="Z93" s="7">
        <v>2950305.0</v>
      </c>
      <c r="AA93" s="12">
        <f t="shared" si="6"/>
        <v>1.094680042</v>
      </c>
      <c r="AB93" s="10">
        <v>3237.0</v>
      </c>
    </row>
    <row r="94" ht="12.0" customHeight="1">
      <c r="A94" s="6">
        <v>45208.0</v>
      </c>
      <c r="B94" s="6">
        <v>45214.0</v>
      </c>
      <c r="C94" s="7">
        <v>41.0</v>
      </c>
      <c r="D94" s="7">
        <v>2023.0</v>
      </c>
      <c r="E94" s="11">
        <v>70770.25</v>
      </c>
      <c r="F94" s="7">
        <v>106857.0</v>
      </c>
      <c r="G94" s="7">
        <v>131883.0</v>
      </c>
      <c r="H94" s="7">
        <f t="shared" si="1"/>
        <v>238740</v>
      </c>
      <c r="I94" s="11">
        <v>2572.86</v>
      </c>
      <c r="J94" s="7">
        <v>32448.0</v>
      </c>
      <c r="K94" s="9">
        <f t="shared" si="2"/>
        <v>0.07929178994</v>
      </c>
      <c r="L94" s="7">
        <v>24979.0</v>
      </c>
      <c r="M94" s="11">
        <v>26252.89</v>
      </c>
      <c r="N94" s="7">
        <v>38703.0</v>
      </c>
      <c r="O94" s="9">
        <f t="shared" si="3"/>
        <v>0.678316668</v>
      </c>
      <c r="P94" s="7">
        <v>27722.0</v>
      </c>
      <c r="Q94" s="11">
        <v>34809.39</v>
      </c>
      <c r="R94" s="7">
        <v>1.9053212E7</v>
      </c>
      <c r="S94" s="9">
        <f t="shared" si="4"/>
        <v>1.826956526</v>
      </c>
      <c r="T94" s="7">
        <v>72567.0</v>
      </c>
      <c r="U94" s="11">
        <v>2819.09</v>
      </c>
      <c r="V94" s="7">
        <v>22485.0</v>
      </c>
      <c r="W94" s="12">
        <f t="shared" si="5"/>
        <v>0.1253764732</v>
      </c>
      <c r="X94" s="10">
        <v>5611.0</v>
      </c>
      <c r="Y94" s="11">
        <v>4316.02</v>
      </c>
      <c r="Z94" s="7">
        <v>3552017.0</v>
      </c>
      <c r="AA94" s="12">
        <f t="shared" si="6"/>
        <v>1.215089905</v>
      </c>
      <c r="AB94" s="10">
        <v>6615.0</v>
      </c>
    </row>
    <row r="95" ht="12.0" customHeight="1">
      <c r="A95" s="6">
        <v>45215.0</v>
      </c>
      <c r="B95" s="6">
        <v>45221.0</v>
      </c>
      <c r="C95" s="7">
        <v>42.0</v>
      </c>
      <c r="D95" s="7">
        <v>2023.0</v>
      </c>
      <c r="E95" s="11">
        <v>71644.18</v>
      </c>
      <c r="F95" s="7">
        <v>104124.0</v>
      </c>
      <c r="G95" s="7">
        <v>110334.0</v>
      </c>
      <c r="H95" s="7">
        <f t="shared" si="1"/>
        <v>214458</v>
      </c>
      <c r="I95" s="11">
        <v>2591.17</v>
      </c>
      <c r="J95" s="7">
        <v>29315.0</v>
      </c>
      <c r="K95" s="9">
        <f t="shared" si="2"/>
        <v>0.08839058502</v>
      </c>
      <c r="L95" s="7">
        <v>22109.0</v>
      </c>
      <c r="M95" s="11">
        <v>30042.24</v>
      </c>
      <c r="N95" s="7">
        <v>28150.0</v>
      </c>
      <c r="O95" s="9">
        <f t="shared" si="3"/>
        <v>1.067219893</v>
      </c>
      <c r="P95" s="7">
        <v>23770.0</v>
      </c>
      <c r="Q95" s="11">
        <v>33220.92</v>
      </c>
      <c r="R95" s="7">
        <v>1.6153559E7</v>
      </c>
      <c r="S95" s="9">
        <f t="shared" si="4"/>
        <v>2.056569701</v>
      </c>
      <c r="T95" s="7">
        <v>60541.0</v>
      </c>
      <c r="U95" s="11">
        <v>2625.81</v>
      </c>
      <c r="V95" s="7">
        <v>11289.0</v>
      </c>
      <c r="W95" s="12">
        <f t="shared" si="5"/>
        <v>0.2325989902</v>
      </c>
      <c r="X95" s="10">
        <v>4963.0</v>
      </c>
      <c r="Y95" s="11">
        <v>3164.04</v>
      </c>
      <c r="Z95" s="7">
        <v>2293390.0</v>
      </c>
      <c r="AA95" s="12">
        <f t="shared" si="6"/>
        <v>1.379634515</v>
      </c>
      <c r="AB95" s="10">
        <v>3914.0</v>
      </c>
    </row>
    <row r="96" ht="12.0" customHeight="1">
      <c r="A96" s="6">
        <v>45222.0</v>
      </c>
      <c r="B96" s="6">
        <v>45228.0</v>
      </c>
      <c r="C96" s="7">
        <v>43.0</v>
      </c>
      <c r="D96" s="7">
        <v>2023.0</v>
      </c>
      <c r="E96" s="11">
        <v>68278.09</v>
      </c>
      <c r="F96" s="7">
        <v>104107.0</v>
      </c>
      <c r="G96" s="7">
        <v>128931.0</v>
      </c>
      <c r="H96" s="7">
        <f t="shared" si="1"/>
        <v>233038</v>
      </c>
      <c r="I96" s="11">
        <v>2794.02</v>
      </c>
      <c r="J96" s="7">
        <v>31176.0</v>
      </c>
      <c r="K96" s="9">
        <f t="shared" si="2"/>
        <v>0.0896208622</v>
      </c>
      <c r="L96" s="7">
        <v>24165.0</v>
      </c>
      <c r="M96" s="11">
        <v>22936.0</v>
      </c>
      <c r="N96" s="7">
        <v>28102.0</v>
      </c>
      <c r="O96" s="9">
        <f t="shared" si="3"/>
        <v>0.8161696676</v>
      </c>
      <c r="P96" s="7">
        <v>24385.0</v>
      </c>
      <c r="Q96" s="11">
        <v>34126.88</v>
      </c>
      <c r="R96" s="7">
        <v>1.6605365E7</v>
      </c>
      <c r="S96" s="9">
        <f t="shared" si="4"/>
        <v>2.055171928</v>
      </c>
      <c r="T96" s="7">
        <v>76800.0</v>
      </c>
      <c r="U96" s="11">
        <v>4402.49</v>
      </c>
      <c r="V96" s="7">
        <v>23794.0</v>
      </c>
      <c r="W96" s="12">
        <f t="shared" si="5"/>
        <v>0.1850252164</v>
      </c>
      <c r="X96" s="10">
        <v>7476.0</v>
      </c>
      <c r="Y96" s="11">
        <v>4018.7</v>
      </c>
      <c r="Z96" s="7">
        <v>2685503.0</v>
      </c>
      <c r="AA96" s="12">
        <f t="shared" si="6"/>
        <v>1.496442194</v>
      </c>
      <c r="AB96" s="10">
        <v>3581.0</v>
      </c>
    </row>
    <row r="97" ht="12.0" customHeight="1">
      <c r="A97" s="6">
        <v>45229.0</v>
      </c>
      <c r="B97" s="6">
        <v>45235.0</v>
      </c>
      <c r="C97" s="7">
        <v>44.0</v>
      </c>
      <c r="D97" s="7">
        <v>2023.0</v>
      </c>
      <c r="E97" s="11">
        <v>67247.98</v>
      </c>
      <c r="F97" s="7">
        <v>109074.0</v>
      </c>
      <c r="G97" s="7">
        <v>143580.0</v>
      </c>
      <c r="H97" s="7">
        <f t="shared" si="1"/>
        <v>252654</v>
      </c>
      <c r="I97" s="11">
        <v>2303.92</v>
      </c>
      <c r="J97" s="7">
        <v>33361.0</v>
      </c>
      <c r="K97" s="9">
        <f t="shared" si="2"/>
        <v>0.06906027997</v>
      </c>
      <c r="L97" s="7">
        <v>25634.0</v>
      </c>
      <c r="M97" s="11">
        <v>25335.0</v>
      </c>
      <c r="N97" s="7">
        <v>34599.0</v>
      </c>
      <c r="O97" s="9">
        <f t="shared" si="3"/>
        <v>0.7322465967</v>
      </c>
      <c r="P97" s="7">
        <v>30868.0</v>
      </c>
      <c r="Q97" s="11">
        <v>31035.42</v>
      </c>
      <c r="R97" s="7">
        <v>1.7648157E7</v>
      </c>
      <c r="S97" s="9">
        <f t="shared" si="4"/>
        <v>1.758564365</v>
      </c>
      <c r="T97" s="7">
        <v>83988.0</v>
      </c>
      <c r="U97" s="11">
        <v>4201.54</v>
      </c>
      <c r="V97" s="7">
        <v>20576.0</v>
      </c>
      <c r="W97" s="12">
        <f t="shared" si="5"/>
        <v>0.2041961509</v>
      </c>
      <c r="X97" s="10">
        <v>8164.0</v>
      </c>
      <c r="Y97" s="11">
        <v>4372.1</v>
      </c>
      <c r="Z97" s="7">
        <v>3194376.0</v>
      </c>
      <c r="AA97" s="12">
        <f t="shared" si="6"/>
        <v>1.368686717</v>
      </c>
      <c r="AB97" s="10">
        <v>3090.0</v>
      </c>
    </row>
    <row r="98" ht="12.0" customHeight="1">
      <c r="A98" s="6">
        <v>45236.0</v>
      </c>
      <c r="B98" s="6">
        <v>45242.0</v>
      </c>
      <c r="C98" s="7">
        <v>45.0</v>
      </c>
      <c r="D98" s="7">
        <v>2023.0</v>
      </c>
      <c r="E98" s="11">
        <v>74090.22</v>
      </c>
      <c r="F98" s="7">
        <v>116699.0</v>
      </c>
      <c r="G98" s="7">
        <v>137734.0</v>
      </c>
      <c r="H98" s="7">
        <f t="shared" si="1"/>
        <v>254433</v>
      </c>
      <c r="I98" s="11">
        <v>2501.19</v>
      </c>
      <c r="J98" s="7">
        <v>32956.0</v>
      </c>
      <c r="K98" s="9">
        <f t="shared" si="2"/>
        <v>0.07589482947</v>
      </c>
      <c r="L98" s="7">
        <v>26075.0</v>
      </c>
      <c r="M98" s="11">
        <v>27221.0</v>
      </c>
      <c r="N98" s="7">
        <v>35292.0</v>
      </c>
      <c r="O98" s="9">
        <f t="shared" si="3"/>
        <v>0.7713079451</v>
      </c>
      <c r="P98" s="7">
        <v>31454.0</v>
      </c>
      <c r="Q98" s="11">
        <v>36964.44</v>
      </c>
      <c r="R98" s="7">
        <v>1.8938123E7</v>
      </c>
      <c r="S98" s="9">
        <f t="shared" si="4"/>
        <v>1.951853412</v>
      </c>
      <c r="T98" s="7">
        <v>78387.0</v>
      </c>
      <c r="U98" s="11">
        <v>4362.59</v>
      </c>
      <c r="V98" s="7">
        <v>15927.0</v>
      </c>
      <c r="W98" s="12">
        <f t="shared" si="5"/>
        <v>0.2739115967</v>
      </c>
      <c r="X98" s="10">
        <v>6578.0</v>
      </c>
      <c r="Y98" s="11">
        <v>3041.0</v>
      </c>
      <c r="Z98" s="7">
        <v>2414713.0</v>
      </c>
      <c r="AA98" s="12">
        <f t="shared" si="6"/>
        <v>1.259362914</v>
      </c>
      <c r="AB98" s="10">
        <v>1818.0</v>
      </c>
    </row>
    <row r="99" ht="12.0" customHeight="1">
      <c r="A99" s="6">
        <v>45243.0</v>
      </c>
      <c r="B99" s="6">
        <v>45249.0</v>
      </c>
      <c r="C99" s="7">
        <v>46.0</v>
      </c>
      <c r="D99" s="7">
        <v>2023.0</v>
      </c>
      <c r="E99" s="11">
        <v>72514.12999999999</v>
      </c>
      <c r="F99" s="7">
        <v>116224.0</v>
      </c>
      <c r="G99" s="7">
        <v>122555.0</v>
      </c>
      <c r="H99" s="7">
        <f t="shared" si="1"/>
        <v>238779</v>
      </c>
      <c r="I99" s="11">
        <v>2545.32</v>
      </c>
      <c r="J99" s="7">
        <v>32909.0</v>
      </c>
      <c r="K99" s="9">
        <f t="shared" si="2"/>
        <v>0.07734419156</v>
      </c>
      <c r="L99" s="7">
        <v>25997.0</v>
      </c>
      <c r="M99" s="11">
        <v>26665.0</v>
      </c>
      <c r="N99" s="7">
        <v>34841.0</v>
      </c>
      <c r="O99" s="9">
        <f t="shared" si="3"/>
        <v>0.7653339456</v>
      </c>
      <c r="P99" s="7">
        <v>30179.0</v>
      </c>
      <c r="Q99" s="11">
        <v>35790.2</v>
      </c>
      <c r="R99" s="7">
        <v>1.6251311E7</v>
      </c>
      <c r="S99" s="9">
        <f t="shared" si="4"/>
        <v>2.202296172</v>
      </c>
      <c r="T99" s="7">
        <v>64826.0</v>
      </c>
      <c r="U99" s="11">
        <v>4256.690000000001</v>
      </c>
      <c r="V99" s="7">
        <v>13010.0</v>
      </c>
      <c r="W99" s="12">
        <f t="shared" si="5"/>
        <v>0.3271860108</v>
      </c>
      <c r="X99" s="10">
        <v>5730.0</v>
      </c>
      <c r="Y99" s="11">
        <v>3256.92</v>
      </c>
      <c r="Z99" s="7">
        <v>2670770.0</v>
      </c>
      <c r="AA99" s="12">
        <f t="shared" si="6"/>
        <v>1.219468543</v>
      </c>
      <c r="AB99" s="10">
        <v>1553.0</v>
      </c>
    </row>
    <row r="100" ht="12.0" customHeight="1">
      <c r="A100" s="6">
        <v>45250.0</v>
      </c>
      <c r="B100" s="6">
        <v>45256.0</v>
      </c>
      <c r="C100" s="7">
        <v>47.0</v>
      </c>
      <c r="D100" s="7">
        <v>2023.0</v>
      </c>
      <c r="E100" s="11">
        <v>86991.75</v>
      </c>
      <c r="F100" s="7">
        <v>134205.0</v>
      </c>
      <c r="G100" s="7">
        <v>121760.0</v>
      </c>
      <c r="H100" s="7">
        <f t="shared" si="1"/>
        <v>255965</v>
      </c>
      <c r="I100" s="11">
        <f>499.88+2877.87</f>
        <v>3377.75</v>
      </c>
      <c r="J100" s="7">
        <f>1268+35822</f>
        <v>37090</v>
      </c>
      <c r="K100" s="9">
        <f t="shared" si="2"/>
        <v>0.0910690213</v>
      </c>
      <c r="L100" s="7">
        <v>29187.0</v>
      </c>
      <c r="M100" s="11">
        <v>28696.0</v>
      </c>
      <c r="N100" s="7">
        <v>37624.0</v>
      </c>
      <c r="O100" s="9">
        <f t="shared" si="3"/>
        <v>0.7627046566</v>
      </c>
      <c r="P100" s="7">
        <v>30763.0</v>
      </c>
      <c r="Q100" s="11">
        <v>46364.0</v>
      </c>
      <c r="R100" s="7">
        <v>1.6126342E7</v>
      </c>
      <c r="S100" s="9">
        <f t="shared" si="4"/>
        <v>2.875047546</v>
      </c>
      <c r="T100" s="7">
        <v>60589.0</v>
      </c>
      <c r="U100" s="11">
        <v>4773.0</v>
      </c>
      <c r="V100" s="7">
        <v>16394.0</v>
      </c>
      <c r="W100" s="12">
        <f t="shared" si="5"/>
        <v>0.2911431011</v>
      </c>
      <c r="X100" s="10">
        <v>5168.0</v>
      </c>
      <c r="Y100" s="11">
        <v>3781.0</v>
      </c>
      <c r="Z100" s="7">
        <v>4188450.0</v>
      </c>
      <c r="AA100" s="12">
        <f t="shared" si="6"/>
        <v>0.9027205768</v>
      </c>
      <c r="AB100" s="10">
        <v>1221.0</v>
      </c>
    </row>
    <row r="101" ht="12.0" customHeight="1">
      <c r="A101" s="6">
        <v>45257.0</v>
      </c>
      <c r="B101" s="6">
        <v>45263.0</v>
      </c>
      <c r="C101" s="7">
        <v>48.0</v>
      </c>
      <c r="D101" s="7">
        <v>2023.0</v>
      </c>
      <c r="E101" s="11">
        <v>78726.95999999999</v>
      </c>
      <c r="F101" s="7">
        <v>109717.0</v>
      </c>
      <c r="G101" s="7">
        <v>124784.0</v>
      </c>
      <c r="H101" s="7">
        <f t="shared" si="1"/>
        <v>234501</v>
      </c>
      <c r="I101" s="11">
        <f>3044.92+484.78</f>
        <v>3529.7</v>
      </c>
      <c r="J101" s="7">
        <f>34721+1157</f>
        <v>35878</v>
      </c>
      <c r="K101" s="9">
        <f t="shared" si="2"/>
        <v>0.09838062322</v>
      </c>
      <c r="L101" s="7">
        <v>28681.0</v>
      </c>
      <c r="M101" s="11">
        <v>33140.0</v>
      </c>
      <c r="N101" s="7">
        <v>38306.0</v>
      </c>
      <c r="O101" s="9">
        <f t="shared" si="3"/>
        <v>0.8651386206</v>
      </c>
      <c r="P101" s="7">
        <v>31838.0</v>
      </c>
      <c r="Q101" s="11">
        <v>36900.0</v>
      </c>
      <c r="R101" s="7">
        <v>1.5260508E7</v>
      </c>
      <c r="S101" s="9">
        <f t="shared" si="4"/>
        <v>2.418006006</v>
      </c>
      <c r="T101" s="7">
        <v>63727.0</v>
      </c>
      <c r="U101" s="11">
        <v>4156.73</v>
      </c>
      <c r="V101" s="7">
        <v>14597.0</v>
      </c>
      <c r="W101" s="12">
        <f t="shared" si="5"/>
        <v>0.2847660478</v>
      </c>
      <c r="X101" s="10">
        <v>5260.0</v>
      </c>
      <c r="Y101" s="11">
        <v>1000.53</v>
      </c>
      <c r="Z101" s="7">
        <v>795705.0</v>
      </c>
      <c r="AA101" s="12">
        <f t="shared" si="6"/>
        <v>1.257413237</v>
      </c>
      <c r="AB101" s="10">
        <v>538.0</v>
      </c>
    </row>
    <row r="102" ht="12.0" customHeight="1">
      <c r="A102" s="6">
        <v>45264.0</v>
      </c>
      <c r="B102" s="6">
        <v>45270.0</v>
      </c>
      <c r="C102" s="7">
        <v>49.0</v>
      </c>
      <c r="D102" s="7">
        <v>2023.0</v>
      </c>
      <c r="E102" s="11">
        <v>69758.4</v>
      </c>
      <c r="F102" s="7">
        <v>105461.0</v>
      </c>
      <c r="G102" s="7">
        <v>122033.0</v>
      </c>
      <c r="H102" s="7">
        <f t="shared" si="1"/>
        <v>227494</v>
      </c>
      <c r="I102" s="11">
        <v>2487.0</v>
      </c>
      <c r="J102" s="13">
        <v>33203.0</v>
      </c>
      <c r="K102" s="9">
        <f t="shared" si="2"/>
        <v>0.07490287022</v>
      </c>
      <c r="L102" s="7">
        <v>27262.0</v>
      </c>
      <c r="M102" s="11">
        <v>29045.0</v>
      </c>
      <c r="N102" s="13">
        <v>36455.0</v>
      </c>
      <c r="O102" s="9">
        <f t="shared" si="3"/>
        <v>0.7967357015</v>
      </c>
      <c r="P102" s="7">
        <v>31555.0</v>
      </c>
      <c r="Q102" s="11">
        <v>33294.0</v>
      </c>
      <c r="R102" s="7">
        <v>1.3638697E7</v>
      </c>
      <c r="S102" s="9">
        <f t="shared" si="4"/>
        <v>2.441142288</v>
      </c>
      <c r="T102" s="7">
        <v>62558.0</v>
      </c>
      <c r="U102" s="11">
        <v>4253.4</v>
      </c>
      <c r="V102" s="7">
        <v>14137.0</v>
      </c>
      <c r="W102" s="12">
        <f t="shared" si="5"/>
        <v>0.3008700573</v>
      </c>
      <c r="X102" s="10">
        <v>5352.0</v>
      </c>
      <c r="Y102" s="11">
        <v>679.0</v>
      </c>
      <c r="Z102" s="7">
        <v>474843.0</v>
      </c>
      <c r="AA102" s="12">
        <f t="shared" si="6"/>
        <v>1.429946319</v>
      </c>
      <c r="AB102" s="10">
        <v>658.0</v>
      </c>
    </row>
    <row r="103" ht="12.0" customHeight="1">
      <c r="A103" s="6">
        <v>45271.0</v>
      </c>
      <c r="B103" s="6">
        <v>45277.0</v>
      </c>
      <c r="C103" s="7">
        <v>50.0</v>
      </c>
      <c r="D103" s="7">
        <v>2023.0</v>
      </c>
      <c r="E103" s="11">
        <v>69027.61</v>
      </c>
      <c r="F103" s="7">
        <v>112993.0</v>
      </c>
      <c r="G103" s="7">
        <v>112415.0</v>
      </c>
      <c r="H103" s="7">
        <f t="shared" si="1"/>
        <v>225408</v>
      </c>
      <c r="I103" s="11">
        <f>2357.65+408.87</f>
        <v>2766.52</v>
      </c>
      <c r="J103" s="13">
        <f>31874+1021</f>
        <v>32895</v>
      </c>
      <c r="K103" s="9">
        <f t="shared" si="2"/>
        <v>0.08410153519</v>
      </c>
      <c r="L103" s="7">
        <v>25572.0</v>
      </c>
      <c r="M103" s="11">
        <v>26292.0</v>
      </c>
      <c r="N103" s="13">
        <v>34032.0</v>
      </c>
      <c r="O103" s="9">
        <f t="shared" si="3"/>
        <v>0.7725669958</v>
      </c>
      <c r="P103" s="7">
        <v>28538.0</v>
      </c>
      <c r="Q103" s="11">
        <v>35003.06</v>
      </c>
      <c r="R103" s="7">
        <v>1.3180543E7</v>
      </c>
      <c r="S103" s="9">
        <f t="shared" si="4"/>
        <v>2.655661455</v>
      </c>
      <c r="T103" s="7">
        <v>57885.0</v>
      </c>
      <c r="U103" s="11">
        <v>4250.7</v>
      </c>
      <c r="V103" s="7">
        <v>20108.0</v>
      </c>
      <c r="W103" s="12">
        <f t="shared" si="5"/>
        <v>0.2113934752</v>
      </c>
      <c r="X103" s="10">
        <v>5594.0</v>
      </c>
      <c r="Y103" s="11">
        <v>715.33</v>
      </c>
      <c r="Z103" s="7">
        <v>385769.0</v>
      </c>
      <c r="AA103" s="12">
        <f t="shared" si="6"/>
        <v>1.854296224</v>
      </c>
      <c r="AB103" s="10">
        <v>420.0</v>
      </c>
    </row>
    <row r="104" ht="12.0" customHeight="1">
      <c r="A104" s="6">
        <v>45278.0</v>
      </c>
      <c r="B104" s="6">
        <v>45284.0</v>
      </c>
      <c r="C104" s="7">
        <v>51.0</v>
      </c>
      <c r="D104" s="7">
        <v>2023.0</v>
      </c>
      <c r="E104" s="11">
        <v>78133.41</v>
      </c>
      <c r="F104" s="7">
        <v>95094.0</v>
      </c>
      <c r="G104" s="7">
        <v>120994.0</v>
      </c>
      <c r="H104" s="7">
        <f t="shared" si="1"/>
        <v>216088</v>
      </c>
      <c r="I104" s="11">
        <f>2698.4+368.55</f>
        <v>3066.95</v>
      </c>
      <c r="J104" s="13">
        <f>31465+909</f>
        <v>32374</v>
      </c>
      <c r="K104" s="9">
        <f t="shared" si="2"/>
        <v>0.09473497251</v>
      </c>
      <c r="L104" s="7">
        <v>24581.0</v>
      </c>
      <c r="M104" s="11">
        <v>30055.0</v>
      </c>
      <c r="N104" s="13">
        <v>36427.0</v>
      </c>
      <c r="O104" s="9">
        <f t="shared" si="3"/>
        <v>0.8250748071</v>
      </c>
      <c r="P104" s="7">
        <v>30774.0</v>
      </c>
      <c r="Q104" s="11">
        <v>39174.94</v>
      </c>
      <c r="R104" s="7">
        <v>1.611062E7</v>
      </c>
      <c r="S104" s="9">
        <f t="shared" si="4"/>
        <v>2.431622123</v>
      </c>
      <c r="T104" s="7">
        <v>63828.0</v>
      </c>
      <c r="U104" s="11">
        <v>2974.03</v>
      </c>
      <c r="V104" s="7">
        <v>24160.0</v>
      </c>
      <c r="W104" s="12">
        <f t="shared" si="5"/>
        <v>0.1230972682</v>
      </c>
      <c r="X104" s="10">
        <v>5758.0</v>
      </c>
      <c r="Y104" s="11">
        <v>2862.49</v>
      </c>
      <c r="Z104" s="7">
        <v>1802732.0</v>
      </c>
      <c r="AA104" s="12">
        <f t="shared" si="6"/>
        <v>1.5878622</v>
      </c>
      <c r="AB104" s="10">
        <v>1811.0</v>
      </c>
    </row>
    <row r="105" ht="12.0" customHeight="1">
      <c r="A105" s="6">
        <v>45285.0</v>
      </c>
      <c r="B105" s="6">
        <v>45291.0</v>
      </c>
      <c r="C105" s="7">
        <v>52.0</v>
      </c>
      <c r="D105" s="7">
        <v>2023.0</v>
      </c>
      <c r="E105" s="11">
        <v>75748.56</v>
      </c>
      <c r="F105" s="7">
        <v>127147.0</v>
      </c>
      <c r="G105" s="7">
        <v>157641.0</v>
      </c>
      <c r="H105" s="7">
        <f t="shared" si="1"/>
        <v>284788</v>
      </c>
      <c r="I105" s="11">
        <f>2994.12+421.23</f>
        <v>3415.35</v>
      </c>
      <c r="J105" s="13">
        <f>48073+909</f>
        <v>48982</v>
      </c>
      <c r="K105" s="9">
        <f t="shared" si="2"/>
        <v>0.06972663427</v>
      </c>
      <c r="L105" s="7">
        <v>36299.0</v>
      </c>
      <c r="M105" s="11">
        <v>32671.0</v>
      </c>
      <c r="N105" s="13">
        <v>46059.0</v>
      </c>
      <c r="O105" s="9">
        <f t="shared" si="3"/>
        <v>0.7093293385</v>
      </c>
      <c r="P105" s="7">
        <v>39090.0</v>
      </c>
      <c r="Q105" s="11">
        <v>34720.76</v>
      </c>
      <c r="R105" s="7">
        <v>2.105251E7</v>
      </c>
      <c r="S105" s="9">
        <f t="shared" si="4"/>
        <v>1.649245624</v>
      </c>
      <c r="T105" s="7">
        <v>80206.0</v>
      </c>
      <c r="U105" s="11">
        <v>1917.9</v>
      </c>
      <c r="V105" s="7">
        <v>32540.0</v>
      </c>
      <c r="W105" s="12">
        <f t="shared" si="5"/>
        <v>0.05893976644</v>
      </c>
      <c r="X105" s="10">
        <v>8473.0</v>
      </c>
      <c r="Y105" s="11">
        <v>3023.55</v>
      </c>
      <c r="Z105" s="7">
        <v>2402859.0</v>
      </c>
      <c r="AA105" s="12">
        <f t="shared" si="6"/>
        <v>1.258313534</v>
      </c>
      <c r="AB105" s="10">
        <v>2046.0</v>
      </c>
    </row>
    <row r="106" ht="12.0" customHeight="1">
      <c r="A106" s="18">
        <v>45292.0</v>
      </c>
      <c r="B106" s="18">
        <v>45298.0</v>
      </c>
      <c r="C106" s="10">
        <v>1.0</v>
      </c>
      <c r="D106" s="10">
        <v>2024.0</v>
      </c>
      <c r="E106" s="11">
        <v>109461.82</v>
      </c>
      <c r="F106" s="10">
        <v>188830.0</v>
      </c>
      <c r="G106" s="7">
        <v>245277.0</v>
      </c>
      <c r="H106" s="7">
        <f t="shared" si="1"/>
        <v>434107</v>
      </c>
      <c r="I106" s="19">
        <f>4043.52+1784.62</f>
        <v>5828.14</v>
      </c>
      <c r="J106" s="13">
        <f>3529+72157</f>
        <v>75686</v>
      </c>
      <c r="K106" s="9">
        <f t="shared" si="2"/>
        <v>0.07700420157</v>
      </c>
      <c r="L106" s="7">
        <v>54604.0</v>
      </c>
      <c r="M106" s="19">
        <v>45853.0</v>
      </c>
      <c r="N106" s="20">
        <v>67775.0</v>
      </c>
      <c r="O106" s="9">
        <f t="shared" si="3"/>
        <v>0.6765473995</v>
      </c>
      <c r="P106" s="7">
        <v>60846.0</v>
      </c>
      <c r="Q106" s="11">
        <v>46198.3</v>
      </c>
      <c r="R106" s="7">
        <v>4.0837804E7</v>
      </c>
      <c r="S106" s="9">
        <f t="shared" si="4"/>
        <v>1.131263082</v>
      </c>
      <c r="T106" s="7">
        <v>124803.0</v>
      </c>
      <c r="U106" s="11">
        <v>4236.879999999999</v>
      </c>
      <c r="V106" s="7">
        <v>86217.0</v>
      </c>
      <c r="W106" s="12">
        <f t="shared" si="5"/>
        <v>0.04914204855</v>
      </c>
      <c r="X106" s="10">
        <v>24450.0</v>
      </c>
      <c r="Y106" s="11">
        <v>7345.5</v>
      </c>
      <c r="Z106" s="7">
        <v>7027817.0</v>
      </c>
      <c r="AA106" s="12">
        <f t="shared" si="6"/>
        <v>1.045203653</v>
      </c>
      <c r="AB106" s="10">
        <v>5024.0</v>
      </c>
    </row>
    <row r="107" ht="12.0" customHeight="1">
      <c r="A107" s="18">
        <v>45299.0</v>
      </c>
      <c r="B107" s="18">
        <v>45305.0</v>
      </c>
      <c r="C107" s="10">
        <v>2.0</v>
      </c>
      <c r="D107" s="10">
        <v>2024.0</v>
      </c>
      <c r="E107" s="11">
        <v>119785.1</v>
      </c>
      <c r="F107" s="10">
        <v>178050.0</v>
      </c>
      <c r="G107" s="7">
        <v>220666.0</v>
      </c>
      <c r="H107" s="7">
        <f t="shared" si="1"/>
        <v>398716</v>
      </c>
      <c r="I107" s="19">
        <f>4050.23+654.27</f>
        <v>4704.5</v>
      </c>
      <c r="J107" s="13">
        <f>62120+1704</f>
        <v>63824</v>
      </c>
      <c r="K107" s="9">
        <f t="shared" si="2"/>
        <v>0.07371051642</v>
      </c>
      <c r="L107" s="7">
        <v>49410.0</v>
      </c>
      <c r="M107" s="19">
        <v>48182.0</v>
      </c>
      <c r="N107" s="20">
        <v>69384.0</v>
      </c>
      <c r="O107" s="9">
        <f t="shared" si="3"/>
        <v>0.6944252277</v>
      </c>
      <c r="P107" s="7">
        <v>57656.0</v>
      </c>
      <c r="Q107" s="11">
        <v>52555.4</v>
      </c>
      <c r="R107" s="7">
        <v>3.5905739E7</v>
      </c>
      <c r="S107" s="9">
        <f t="shared" si="4"/>
        <v>1.46370473</v>
      </c>
      <c r="T107" s="7">
        <v>109995.0</v>
      </c>
      <c r="U107" s="11">
        <v>5222.33</v>
      </c>
      <c r="V107" s="7">
        <v>80773.0</v>
      </c>
      <c r="W107" s="12">
        <f t="shared" si="5"/>
        <v>0.06465440184</v>
      </c>
      <c r="X107" s="10">
        <v>28662.0</v>
      </c>
      <c r="Y107" s="11">
        <v>9120.87</v>
      </c>
      <c r="Z107" s="7">
        <v>7451341.0</v>
      </c>
      <c r="AA107" s="12">
        <f t="shared" si="6"/>
        <v>1.224057522</v>
      </c>
      <c r="AB107" s="10">
        <v>3605.0</v>
      </c>
    </row>
    <row r="108" ht="12.0" customHeight="1">
      <c r="A108" s="18">
        <v>45306.0</v>
      </c>
      <c r="B108" s="18">
        <v>45312.0</v>
      </c>
      <c r="C108" s="10">
        <v>3.0</v>
      </c>
      <c r="D108" s="10">
        <v>2024.0</v>
      </c>
      <c r="E108" s="11">
        <v>148889.46</v>
      </c>
      <c r="F108" s="7">
        <v>198921.0</v>
      </c>
      <c r="G108" s="7">
        <v>238322.0</v>
      </c>
      <c r="H108" s="7">
        <f t="shared" si="1"/>
        <v>437243</v>
      </c>
      <c r="I108" s="11">
        <f>4561.38+674.57</f>
        <v>5235.95</v>
      </c>
      <c r="J108" s="13">
        <f>62169+1727</f>
        <v>63896</v>
      </c>
      <c r="K108" s="9">
        <f t="shared" si="2"/>
        <v>0.08194487918</v>
      </c>
      <c r="L108" s="7">
        <v>49499.0</v>
      </c>
      <c r="M108" s="11">
        <v>47688.0</v>
      </c>
      <c r="N108" s="13">
        <v>66039.0</v>
      </c>
      <c r="O108" s="9">
        <f t="shared" si="3"/>
        <v>0.722118748</v>
      </c>
      <c r="P108" s="7">
        <v>56743.0</v>
      </c>
      <c r="Q108" s="11">
        <v>77679.45</v>
      </c>
      <c r="R108" s="7">
        <v>4.2367478E7</v>
      </c>
      <c r="S108" s="9">
        <f t="shared" si="4"/>
        <v>1.833468822</v>
      </c>
      <c r="T108" s="7">
        <v>126493.0</v>
      </c>
      <c r="U108" s="11">
        <v>6748.969999999999</v>
      </c>
      <c r="V108" s="7">
        <v>82018.0</v>
      </c>
      <c r="W108" s="12">
        <f t="shared" si="5"/>
        <v>0.08228644932</v>
      </c>
      <c r="X108" s="10">
        <v>24716.0</v>
      </c>
      <c r="Y108" s="11">
        <v>11537.09</v>
      </c>
      <c r="Z108" s="7">
        <v>8036393.0</v>
      </c>
      <c r="AA108" s="12">
        <f t="shared" si="6"/>
        <v>1.435605501</v>
      </c>
      <c r="AB108" s="10">
        <v>5587.0</v>
      </c>
    </row>
    <row r="109" ht="12.0" customHeight="1">
      <c r="A109" s="18">
        <v>45313.0</v>
      </c>
      <c r="B109" s="18">
        <v>45319.0</v>
      </c>
      <c r="C109" s="10">
        <v>4.0</v>
      </c>
      <c r="D109" s="10">
        <v>2024.0</v>
      </c>
      <c r="E109" s="11">
        <v>152251.08</v>
      </c>
      <c r="F109" s="7">
        <v>201202.0</v>
      </c>
      <c r="G109" s="7">
        <v>205410.0</v>
      </c>
      <c r="H109" s="7">
        <f t="shared" si="1"/>
        <v>406612</v>
      </c>
      <c r="I109" s="11">
        <f>4462.59+704</f>
        <v>5166.59</v>
      </c>
      <c r="J109" s="8">
        <f>58244+1709</f>
        <v>59953</v>
      </c>
      <c r="K109" s="9">
        <f t="shared" si="2"/>
        <v>0.08617733892</v>
      </c>
      <c r="L109" s="7">
        <v>45576.0</v>
      </c>
      <c r="M109" s="11">
        <v>46336.0</v>
      </c>
      <c r="N109" s="13">
        <v>62886.0</v>
      </c>
      <c r="O109" s="9">
        <f t="shared" si="3"/>
        <v>0.7368253665</v>
      </c>
      <c r="P109" s="7">
        <v>50088.0</v>
      </c>
      <c r="Q109" s="11">
        <v>82752.98</v>
      </c>
      <c r="R109" s="7">
        <v>4.3644784E7</v>
      </c>
      <c r="S109" s="9">
        <f t="shared" si="4"/>
        <v>1.896056583</v>
      </c>
      <c r="T109" s="7">
        <v>106883.0</v>
      </c>
      <c r="U109" s="11">
        <v>8164.969999999999</v>
      </c>
      <c r="V109" s="7">
        <v>68217.0</v>
      </c>
      <c r="W109" s="12">
        <f t="shared" si="5"/>
        <v>0.1196911327</v>
      </c>
      <c r="X109" s="10">
        <v>21720.0</v>
      </c>
      <c r="Y109" s="11">
        <v>9830.54</v>
      </c>
      <c r="Z109" s="7">
        <v>6730396.0</v>
      </c>
      <c r="AA109" s="12">
        <f t="shared" si="6"/>
        <v>1.460618365</v>
      </c>
      <c r="AB109" s="10">
        <v>2863.0</v>
      </c>
    </row>
    <row r="110" ht="12.0" customHeight="1">
      <c r="A110" s="18">
        <v>45320.0</v>
      </c>
      <c r="B110" s="18">
        <v>45326.0</v>
      </c>
      <c r="C110" s="10">
        <v>5.0</v>
      </c>
      <c r="D110" s="10">
        <v>2024.0</v>
      </c>
      <c r="E110" s="11">
        <v>135892.08</v>
      </c>
      <c r="F110" s="7">
        <f>189977</f>
        <v>189977</v>
      </c>
      <c r="G110" s="7">
        <v>192557.0</v>
      </c>
      <c r="H110" s="7">
        <f t="shared" si="1"/>
        <v>382534</v>
      </c>
      <c r="I110" s="11">
        <f>4859.93+708.3</f>
        <v>5568.23</v>
      </c>
      <c r="J110" s="8">
        <f>53728+1670</f>
        <v>55398</v>
      </c>
      <c r="K110" s="9">
        <f t="shared" si="2"/>
        <v>0.1005131954</v>
      </c>
      <c r="L110" s="7">
        <v>44389.0</v>
      </c>
      <c r="M110" s="11">
        <v>44813.0</v>
      </c>
      <c r="N110" s="13">
        <v>60207.0</v>
      </c>
      <c r="O110" s="9">
        <f t="shared" si="3"/>
        <v>0.744315445</v>
      </c>
      <c r="P110" s="7">
        <v>48601.0</v>
      </c>
      <c r="Q110" s="11">
        <v>70770.82</v>
      </c>
      <c r="R110" s="7">
        <v>3.8084715E7</v>
      </c>
      <c r="S110" s="9">
        <f t="shared" si="4"/>
        <v>1.858247331</v>
      </c>
      <c r="T110" s="7">
        <v>97023.0</v>
      </c>
      <c r="U110" s="11">
        <v>7655.620000000001</v>
      </c>
      <c r="V110" s="7">
        <v>90335.0</v>
      </c>
      <c r="W110" s="12">
        <f t="shared" si="5"/>
        <v>0.08474699729</v>
      </c>
      <c r="X110" s="10">
        <v>23451.0</v>
      </c>
      <c r="Y110" s="11">
        <v>7084.41</v>
      </c>
      <c r="Z110" s="7">
        <v>5525277.0</v>
      </c>
      <c r="AA110" s="12">
        <f t="shared" si="6"/>
        <v>1.282181871</v>
      </c>
      <c r="AB110" s="10">
        <v>2544.0</v>
      </c>
    </row>
    <row r="111" ht="12.0" customHeight="1">
      <c r="A111" s="18">
        <v>45327.0</v>
      </c>
      <c r="B111" s="18">
        <v>45333.0</v>
      </c>
      <c r="C111" s="10">
        <v>6.0</v>
      </c>
      <c r="D111" s="10">
        <v>2024.0</v>
      </c>
      <c r="E111" s="11">
        <v>133308.12</v>
      </c>
      <c r="F111" s="7">
        <v>163098.0</v>
      </c>
      <c r="G111" s="7">
        <v>175028.0</v>
      </c>
      <c r="H111" s="7">
        <f t="shared" si="1"/>
        <v>338126</v>
      </c>
      <c r="I111" s="11">
        <f>3528.29+673.16</f>
        <v>4201.45</v>
      </c>
      <c r="J111" s="8">
        <f>45832+1610</f>
        <v>47442</v>
      </c>
      <c r="K111" s="9">
        <f t="shared" si="2"/>
        <v>0.08855971502</v>
      </c>
      <c r="L111" s="7">
        <v>36528.0</v>
      </c>
      <c r="M111" s="11">
        <v>45924.0</v>
      </c>
      <c r="N111" s="13">
        <v>60912.0</v>
      </c>
      <c r="O111" s="9">
        <f t="shared" si="3"/>
        <v>0.7539401103</v>
      </c>
      <c r="P111" s="7">
        <v>49108.0</v>
      </c>
      <c r="Q111" s="11">
        <v>64864.44</v>
      </c>
      <c r="R111" s="7">
        <v>3.4060691E7</v>
      </c>
      <c r="S111" s="9">
        <f t="shared" si="4"/>
        <v>1.904378276</v>
      </c>
      <c r="T111" s="7">
        <v>86348.0</v>
      </c>
      <c r="U111" s="11">
        <v>8404.060000000001</v>
      </c>
      <c r="V111" s="7">
        <v>108000.0</v>
      </c>
      <c r="W111" s="12">
        <f t="shared" si="5"/>
        <v>0.07781537037</v>
      </c>
      <c r="X111" s="10">
        <v>21956.0</v>
      </c>
      <c r="Y111" s="11">
        <v>9914.17</v>
      </c>
      <c r="Z111" s="7">
        <v>6875183.0</v>
      </c>
      <c r="AA111" s="12">
        <f t="shared" si="6"/>
        <v>1.442022707</v>
      </c>
      <c r="AB111" s="10">
        <v>3044.0</v>
      </c>
    </row>
    <row r="112" ht="12.0" customHeight="1">
      <c r="A112" s="18">
        <v>45334.0</v>
      </c>
      <c r="B112" s="18">
        <v>45340.0</v>
      </c>
      <c r="C112" s="10">
        <v>7.0</v>
      </c>
      <c r="D112" s="10">
        <v>2024.0</v>
      </c>
      <c r="E112" s="11">
        <v>137261.74</v>
      </c>
      <c r="F112" s="13">
        <v>167144.0</v>
      </c>
      <c r="G112" s="7">
        <v>188329.0</v>
      </c>
      <c r="H112" s="13">
        <f t="shared" si="1"/>
        <v>355473</v>
      </c>
      <c r="I112" s="11">
        <f>3388.95+656.69</f>
        <v>4045.64</v>
      </c>
      <c r="J112" s="8">
        <f>49510+1639</f>
        <v>51149</v>
      </c>
      <c r="K112" s="9">
        <f t="shared" si="2"/>
        <v>0.07909519248</v>
      </c>
      <c r="L112" s="7">
        <v>39249.0</v>
      </c>
      <c r="M112" s="11">
        <v>48398.0</v>
      </c>
      <c r="N112" s="13">
        <v>64289.0</v>
      </c>
      <c r="O112" s="9">
        <f t="shared" si="3"/>
        <v>0.7528193003</v>
      </c>
      <c r="P112" s="7">
        <v>50290.0</v>
      </c>
      <c r="Q112" s="11">
        <v>66351.4</v>
      </c>
      <c r="R112" s="7">
        <v>3.3767355E7</v>
      </c>
      <c r="S112" s="9">
        <f t="shared" si="4"/>
        <v>1.964956983</v>
      </c>
      <c r="T112" s="7">
        <v>94820.0</v>
      </c>
      <c r="U112" s="11">
        <v>7931.57</v>
      </c>
      <c r="V112" s="7">
        <v>108479.0</v>
      </c>
      <c r="W112" s="12">
        <f t="shared" si="5"/>
        <v>0.07311617917</v>
      </c>
      <c r="X112" s="10">
        <v>21210.0</v>
      </c>
      <c r="Y112" s="11">
        <v>10535.13</v>
      </c>
      <c r="Z112" s="7">
        <v>6226519.0</v>
      </c>
      <c r="AA112" s="12">
        <f t="shared" si="6"/>
        <v>1.691977492</v>
      </c>
      <c r="AB112" s="10">
        <v>3970.0</v>
      </c>
    </row>
    <row r="113" ht="12.0" customHeight="1">
      <c r="A113" s="18">
        <v>45341.0</v>
      </c>
      <c r="B113" s="18">
        <v>45347.0</v>
      </c>
      <c r="C113" s="10">
        <v>8.0</v>
      </c>
      <c r="D113" s="10">
        <v>2024.0</v>
      </c>
      <c r="E113" s="11">
        <v>153214.37</v>
      </c>
      <c r="F113" s="7">
        <v>170315.0</v>
      </c>
      <c r="G113" s="7">
        <v>202286.0</v>
      </c>
      <c r="H113" s="7">
        <f t="shared" si="1"/>
        <v>372601</v>
      </c>
      <c r="I113" s="11">
        <v>4785.21</v>
      </c>
      <c r="J113" s="7">
        <v>59845.0</v>
      </c>
      <c r="K113" s="9">
        <f t="shared" si="2"/>
        <v>0.0799600635</v>
      </c>
      <c r="L113" s="7">
        <v>44107.0</v>
      </c>
      <c r="M113" s="11">
        <v>59814.0</v>
      </c>
      <c r="N113" s="7">
        <v>74275.0</v>
      </c>
      <c r="O113" s="9">
        <f t="shared" si="3"/>
        <v>0.8053046112</v>
      </c>
      <c r="P113" s="7">
        <v>54122.0</v>
      </c>
      <c r="Q113" s="11">
        <v>71011.12</v>
      </c>
      <c r="R113" s="7">
        <v>3.7341202E7</v>
      </c>
      <c r="S113" s="9">
        <f t="shared" si="4"/>
        <v>1.901682758</v>
      </c>
      <c r="T113" s="7">
        <v>100679.0</v>
      </c>
      <c r="U113" s="11">
        <v>8529.24</v>
      </c>
      <c r="V113" s="7">
        <v>124597.0</v>
      </c>
      <c r="W113" s="12">
        <f t="shared" si="5"/>
        <v>0.06845461769</v>
      </c>
      <c r="X113" s="10">
        <v>24068.0</v>
      </c>
      <c r="Y113" s="11">
        <v>9074.8</v>
      </c>
      <c r="Z113" s="7">
        <v>6240426.0</v>
      </c>
      <c r="AA113" s="12">
        <f t="shared" si="6"/>
        <v>1.454195595</v>
      </c>
      <c r="AB113" s="10">
        <v>3378.0</v>
      </c>
    </row>
    <row r="114" ht="12.0" customHeight="1">
      <c r="A114" s="18">
        <v>45348.0</v>
      </c>
      <c r="B114" s="18">
        <v>45354.0</v>
      </c>
      <c r="C114" s="10">
        <v>9.0</v>
      </c>
      <c r="D114" s="10">
        <v>2024.0</v>
      </c>
      <c r="E114" s="11">
        <v>160683.4</v>
      </c>
      <c r="F114" s="7">
        <v>182049.0</v>
      </c>
      <c r="G114" s="7">
        <v>201015.0</v>
      </c>
      <c r="H114" s="7">
        <f t="shared" si="1"/>
        <v>383064</v>
      </c>
      <c r="I114" s="11">
        <v>5693.71</v>
      </c>
      <c r="J114" s="7">
        <v>62346.0</v>
      </c>
      <c r="K114" s="9">
        <f t="shared" si="2"/>
        <v>0.09132438328</v>
      </c>
      <c r="L114" s="7">
        <v>47384.0</v>
      </c>
      <c r="M114" s="11">
        <v>62357.0</v>
      </c>
      <c r="N114" s="7">
        <v>75215.0</v>
      </c>
      <c r="O114" s="9">
        <f t="shared" si="3"/>
        <v>0.8290500565</v>
      </c>
      <c r="P114" s="7">
        <v>56457.0</v>
      </c>
      <c r="Q114" s="11">
        <v>72942.29999999999</v>
      </c>
      <c r="R114" s="7">
        <v>3.6730753E7</v>
      </c>
      <c r="S114" s="9">
        <f t="shared" si="4"/>
        <v>1.985864542</v>
      </c>
      <c r="T114" s="7">
        <v>93918.0</v>
      </c>
      <c r="U114" s="11">
        <v>9170.62</v>
      </c>
      <c r="V114" s="7">
        <v>149736.0</v>
      </c>
      <c r="W114" s="12">
        <f t="shared" si="5"/>
        <v>0.06124525832</v>
      </c>
      <c r="X114" s="10">
        <v>34192.0</v>
      </c>
      <c r="Y114" s="11">
        <v>10519.77</v>
      </c>
      <c r="Z114" s="7">
        <v>6999691.0</v>
      </c>
      <c r="AA114" s="12">
        <f t="shared" si="6"/>
        <v>1.502890628</v>
      </c>
      <c r="AB114" s="10">
        <v>3256.0</v>
      </c>
    </row>
    <row r="115" ht="12.0" customHeight="1">
      <c r="A115" s="18">
        <v>45355.0</v>
      </c>
      <c r="B115" s="18">
        <v>45361.0</v>
      </c>
      <c r="C115" s="10">
        <v>10.0</v>
      </c>
      <c r="D115" s="10">
        <v>2024.0</v>
      </c>
      <c r="E115" s="11">
        <v>151360.18</v>
      </c>
      <c r="F115" s="7">
        <v>163661.0</v>
      </c>
      <c r="G115" s="7">
        <v>199199.0</v>
      </c>
      <c r="H115" s="7">
        <f t="shared" si="1"/>
        <v>362860</v>
      </c>
      <c r="I115" s="11">
        <v>5533.91</v>
      </c>
      <c r="J115" s="7">
        <v>63856.0</v>
      </c>
      <c r="K115" s="9">
        <f t="shared" si="2"/>
        <v>0.086662334</v>
      </c>
      <c r="L115" s="7">
        <v>49181.0</v>
      </c>
      <c r="M115" s="11">
        <v>61984.0</v>
      </c>
      <c r="N115" s="7">
        <v>75097.0</v>
      </c>
      <c r="O115" s="9">
        <f t="shared" si="3"/>
        <v>0.8253858343</v>
      </c>
      <c r="P115" s="7">
        <v>58318.0</v>
      </c>
      <c r="Q115" s="11">
        <v>65733.88</v>
      </c>
      <c r="R115" s="7">
        <v>3.2077671E7</v>
      </c>
      <c r="S115" s="9">
        <f t="shared" si="4"/>
        <v>2.049209869</v>
      </c>
      <c r="T115" s="7">
        <v>88409.0</v>
      </c>
      <c r="U115" s="11">
        <v>8804.64</v>
      </c>
      <c r="V115" s="7">
        <v>126049.0</v>
      </c>
      <c r="W115" s="12">
        <f t="shared" si="5"/>
        <v>0.06985093099</v>
      </c>
      <c r="X115" s="10">
        <v>30706.0</v>
      </c>
      <c r="Y115" s="11">
        <v>9303.75</v>
      </c>
      <c r="Z115" s="7">
        <v>6129564.0</v>
      </c>
      <c r="AA115" s="12">
        <f t="shared" si="6"/>
        <v>1.517848578</v>
      </c>
      <c r="AB115" s="10">
        <v>3291.0</v>
      </c>
    </row>
    <row r="116" ht="12.0" customHeight="1">
      <c r="A116" s="18">
        <v>45362.0</v>
      </c>
      <c r="B116" s="18">
        <v>45368.0</v>
      </c>
      <c r="C116" s="10">
        <v>11.0</v>
      </c>
      <c r="D116" s="10">
        <v>2024.0</v>
      </c>
      <c r="E116" s="11">
        <v>140849.75</v>
      </c>
      <c r="F116" s="7">
        <v>170587.0</v>
      </c>
      <c r="G116" s="7">
        <v>193938.0</v>
      </c>
      <c r="H116" s="7">
        <f t="shared" si="1"/>
        <v>364525</v>
      </c>
      <c r="I116" s="11">
        <v>5893.55</v>
      </c>
      <c r="J116" s="7">
        <v>69195.0</v>
      </c>
      <c r="K116" s="9">
        <f t="shared" si="2"/>
        <v>0.08517306164</v>
      </c>
      <c r="L116" s="7">
        <v>54175.0</v>
      </c>
      <c r="M116" s="11">
        <v>62378.0</v>
      </c>
      <c r="N116" s="7">
        <v>75568.0</v>
      </c>
      <c r="O116" s="9">
        <f t="shared" si="3"/>
        <v>0.8254552191</v>
      </c>
      <c r="P116" s="7">
        <v>59794.0</v>
      </c>
      <c r="Q116" s="11">
        <v>55776.92</v>
      </c>
      <c r="R116" s="7">
        <v>2.6282295E7</v>
      </c>
      <c r="S116" s="9">
        <f t="shared" si="4"/>
        <v>2.122224106</v>
      </c>
      <c r="T116" s="7">
        <v>77477.0</v>
      </c>
      <c r="U116" s="11">
        <v>8755.05</v>
      </c>
      <c r="V116" s="7">
        <v>125769.0</v>
      </c>
      <c r="W116" s="12">
        <f t="shared" si="5"/>
        <v>0.06961214608</v>
      </c>
      <c r="X116" s="10">
        <v>26217.0</v>
      </c>
      <c r="Y116" s="11">
        <v>8046.23</v>
      </c>
      <c r="Z116" s="7">
        <v>5199495.0</v>
      </c>
      <c r="AA116" s="12">
        <f t="shared" si="6"/>
        <v>1.547502209</v>
      </c>
      <c r="AB116" s="10">
        <v>2492.0</v>
      </c>
    </row>
    <row r="117" ht="12.0" customHeight="1">
      <c r="A117" s="18">
        <v>45369.0</v>
      </c>
      <c r="B117" s="18">
        <v>45375.0</v>
      </c>
      <c r="C117" s="10">
        <v>12.0</v>
      </c>
      <c r="D117" s="10">
        <v>2024.0</v>
      </c>
      <c r="E117" s="11">
        <v>159370.0</v>
      </c>
      <c r="F117" s="7">
        <v>183584.0</v>
      </c>
      <c r="G117" s="7">
        <v>169097.0</v>
      </c>
      <c r="H117" s="7">
        <f t="shared" si="1"/>
        <v>352681</v>
      </c>
      <c r="I117" s="11">
        <v>6751.0</v>
      </c>
      <c r="J117" s="7">
        <v>67911.0</v>
      </c>
      <c r="K117" s="9">
        <f t="shared" si="2"/>
        <v>0.09940952129</v>
      </c>
      <c r="L117" s="7">
        <v>43560.0</v>
      </c>
      <c r="M117" s="11">
        <v>70741.0</v>
      </c>
      <c r="N117" s="7">
        <v>82922.0</v>
      </c>
      <c r="O117" s="9">
        <f t="shared" si="3"/>
        <v>0.853102916</v>
      </c>
      <c r="P117" s="7">
        <v>55102.0</v>
      </c>
      <c r="Q117" s="11">
        <v>64735.0</v>
      </c>
      <c r="R117" s="7">
        <v>2.9479008E7</v>
      </c>
      <c r="S117" s="9">
        <f t="shared" si="4"/>
        <v>2.195969417</v>
      </c>
      <c r="T117" s="7">
        <v>68652.0</v>
      </c>
      <c r="U117" s="11">
        <v>8460.0</v>
      </c>
      <c r="V117" s="7">
        <v>105147.0</v>
      </c>
      <c r="W117" s="12">
        <f t="shared" si="5"/>
        <v>0.08045878627</v>
      </c>
      <c r="X117" s="10">
        <v>20139.0</v>
      </c>
      <c r="Y117" s="11">
        <v>8683.0</v>
      </c>
      <c r="Z117" s="7">
        <v>5325575.0</v>
      </c>
      <c r="AA117" s="12">
        <f t="shared" si="6"/>
        <v>1.630434272</v>
      </c>
      <c r="AB117" s="10">
        <v>1783.0</v>
      </c>
    </row>
    <row r="118" ht="12.0" customHeight="1">
      <c r="A118" s="7"/>
      <c r="B118" s="7"/>
      <c r="C118" s="7"/>
      <c r="D118" s="7"/>
      <c r="E118" s="11"/>
      <c r="F118" s="7"/>
      <c r="G118" s="7"/>
      <c r="H118" s="7"/>
      <c r="I118" s="11"/>
      <c r="J118" s="7"/>
      <c r="K118" s="7"/>
      <c r="L118" s="7"/>
      <c r="M118" s="11"/>
      <c r="N118" s="7"/>
      <c r="O118" s="7"/>
      <c r="P118" s="7"/>
      <c r="Q118" s="11"/>
      <c r="R118" s="7"/>
      <c r="S118" s="7"/>
      <c r="T118" s="7"/>
      <c r="U118" s="7"/>
      <c r="V118" s="7"/>
      <c r="W118" s="7"/>
      <c r="X118" s="7"/>
      <c r="Y118" s="11"/>
      <c r="Z118" s="7"/>
      <c r="AA118" s="10"/>
      <c r="AB118" s="10"/>
    </row>
    <row r="119" ht="12.0" customHeight="1">
      <c r="A119" s="7"/>
      <c r="B119" s="7"/>
      <c r="C119" s="7"/>
      <c r="D119" s="7"/>
      <c r="E119" s="11"/>
      <c r="F119" s="7"/>
      <c r="G119" s="7"/>
      <c r="H119" s="7"/>
      <c r="I119" s="11"/>
      <c r="J119" s="7"/>
      <c r="K119" s="7"/>
      <c r="L119" s="7"/>
      <c r="M119" s="11"/>
      <c r="N119" s="7"/>
      <c r="O119" s="7"/>
      <c r="P119" s="7"/>
      <c r="Q119" s="11"/>
      <c r="R119" s="7"/>
      <c r="S119" s="7"/>
      <c r="T119" s="7"/>
      <c r="U119" s="7"/>
      <c r="V119" s="7"/>
      <c r="W119" s="7"/>
      <c r="X119" s="7"/>
      <c r="Y119" s="11"/>
      <c r="Z119" s="7"/>
      <c r="AA119" s="10"/>
      <c r="AB119" s="10"/>
    </row>
    <row r="120" ht="12.0" customHeight="1">
      <c r="A120" s="7"/>
      <c r="B120" s="7"/>
      <c r="C120" s="7"/>
      <c r="D120" s="7"/>
      <c r="E120" s="11"/>
      <c r="F120" s="7"/>
      <c r="G120" s="7"/>
      <c r="H120" s="7"/>
      <c r="I120" s="11"/>
      <c r="J120" s="7"/>
      <c r="K120" s="7"/>
      <c r="L120" s="7"/>
      <c r="M120" s="11"/>
      <c r="N120" s="7"/>
      <c r="O120" s="7"/>
      <c r="P120" s="7"/>
      <c r="Q120" s="11"/>
      <c r="R120" s="7"/>
      <c r="S120" s="7"/>
      <c r="T120" s="7"/>
      <c r="U120" s="7"/>
      <c r="V120" s="7"/>
      <c r="W120" s="7"/>
      <c r="X120" s="7"/>
      <c r="Y120" s="11"/>
      <c r="Z120" s="7"/>
      <c r="AA120" s="10"/>
      <c r="AB120" s="10"/>
    </row>
    <row r="121" ht="12.0" customHeight="1">
      <c r="A121" s="7"/>
      <c r="B121" s="7"/>
      <c r="C121" s="7"/>
      <c r="D121" s="7"/>
      <c r="E121" s="11"/>
      <c r="F121" s="7"/>
      <c r="G121" s="7"/>
      <c r="H121" s="7"/>
      <c r="I121" s="11"/>
      <c r="J121" s="7"/>
      <c r="K121" s="7"/>
      <c r="L121" s="7"/>
      <c r="M121" s="11"/>
      <c r="N121" s="7"/>
      <c r="O121" s="7"/>
      <c r="P121" s="7"/>
      <c r="Q121" s="11"/>
      <c r="R121" s="7"/>
      <c r="S121" s="7"/>
      <c r="T121" s="7"/>
      <c r="U121" s="7"/>
      <c r="V121" s="7"/>
      <c r="W121" s="7"/>
      <c r="X121" s="7"/>
      <c r="Y121" s="11"/>
      <c r="Z121" s="7"/>
      <c r="AA121" s="10"/>
      <c r="AB121" s="10"/>
    </row>
    <row r="122" ht="12.0" customHeight="1">
      <c r="A122" s="7"/>
      <c r="B122" s="7"/>
      <c r="C122" s="7"/>
      <c r="D122" s="7"/>
      <c r="E122" s="11"/>
      <c r="F122" s="7"/>
      <c r="G122" s="7"/>
      <c r="H122" s="7"/>
      <c r="I122" s="11"/>
      <c r="J122" s="7"/>
      <c r="K122" s="7"/>
      <c r="L122" s="7"/>
      <c r="M122" s="11"/>
      <c r="N122" s="7"/>
      <c r="O122" s="7"/>
      <c r="P122" s="7"/>
      <c r="Q122" s="11"/>
      <c r="R122" s="7"/>
      <c r="S122" s="7"/>
      <c r="T122" s="7"/>
      <c r="U122" s="7"/>
      <c r="V122" s="7"/>
      <c r="W122" s="7"/>
      <c r="X122" s="7"/>
      <c r="Y122" s="11"/>
      <c r="Z122" s="7"/>
      <c r="AA122" s="10"/>
      <c r="AB122" s="10"/>
    </row>
    <row r="123" ht="12.0" customHeight="1">
      <c r="A123" s="7"/>
      <c r="B123" s="7"/>
      <c r="C123" s="7"/>
      <c r="D123" s="7"/>
      <c r="E123" s="11"/>
      <c r="F123" s="7"/>
      <c r="G123" s="7"/>
      <c r="H123" s="7"/>
      <c r="I123" s="11"/>
      <c r="J123" s="7"/>
      <c r="K123" s="7"/>
      <c r="L123" s="7"/>
      <c r="M123" s="11"/>
      <c r="N123" s="7"/>
      <c r="O123" s="7"/>
      <c r="P123" s="7"/>
      <c r="Q123" s="11"/>
      <c r="R123" s="7"/>
      <c r="S123" s="7"/>
      <c r="T123" s="7"/>
      <c r="U123" s="7"/>
      <c r="V123" s="7"/>
      <c r="W123" s="7"/>
      <c r="X123" s="7"/>
      <c r="Y123" s="11"/>
      <c r="Z123" s="7"/>
      <c r="AA123" s="10"/>
      <c r="AB123" s="10"/>
    </row>
    <row r="124" ht="12.0" customHeight="1">
      <c r="A124" s="7"/>
      <c r="B124" s="7"/>
      <c r="C124" s="7"/>
      <c r="D124" s="7"/>
      <c r="E124" s="11"/>
      <c r="F124" s="7"/>
      <c r="G124" s="7"/>
      <c r="H124" s="7"/>
      <c r="I124" s="11"/>
      <c r="J124" s="7"/>
      <c r="K124" s="7"/>
      <c r="L124" s="7"/>
      <c r="M124" s="11"/>
      <c r="N124" s="7"/>
      <c r="O124" s="7"/>
      <c r="P124" s="7"/>
      <c r="Q124" s="11"/>
      <c r="R124" s="7"/>
      <c r="S124" s="7"/>
      <c r="T124" s="7"/>
      <c r="U124" s="7"/>
      <c r="V124" s="7"/>
      <c r="W124" s="7"/>
      <c r="X124" s="7"/>
      <c r="Y124" s="11"/>
      <c r="Z124" s="7"/>
      <c r="AA124" s="10"/>
      <c r="AB124" s="10"/>
    </row>
    <row r="125" ht="12.0" customHeight="1">
      <c r="A125" s="7"/>
      <c r="B125" s="7"/>
      <c r="C125" s="7"/>
      <c r="D125" s="7"/>
      <c r="E125" s="11"/>
      <c r="F125" s="7"/>
      <c r="G125" s="7"/>
      <c r="H125" s="7"/>
      <c r="I125" s="11"/>
      <c r="J125" s="7"/>
      <c r="K125" s="7"/>
      <c r="L125" s="7"/>
      <c r="M125" s="11"/>
      <c r="N125" s="7"/>
      <c r="O125" s="7"/>
      <c r="P125" s="7"/>
      <c r="Q125" s="11"/>
      <c r="R125" s="7"/>
      <c r="S125" s="7"/>
      <c r="T125" s="7"/>
      <c r="U125" s="7"/>
      <c r="V125" s="7"/>
      <c r="W125" s="7"/>
      <c r="X125" s="7"/>
      <c r="Y125" s="11"/>
      <c r="Z125" s="7"/>
      <c r="AA125" s="10"/>
      <c r="AB125" s="10"/>
    </row>
    <row r="126" ht="12.0" customHeight="1">
      <c r="A126" s="7"/>
      <c r="B126" s="7"/>
      <c r="C126" s="7"/>
      <c r="D126" s="7"/>
      <c r="E126" s="11"/>
      <c r="F126" s="7"/>
      <c r="G126" s="7"/>
      <c r="H126" s="7"/>
      <c r="I126" s="11"/>
      <c r="J126" s="7"/>
      <c r="K126" s="7"/>
      <c r="L126" s="7"/>
      <c r="M126" s="11"/>
      <c r="N126" s="7"/>
      <c r="O126" s="7"/>
      <c r="P126" s="7"/>
      <c r="Q126" s="11"/>
      <c r="R126" s="7"/>
      <c r="S126" s="7"/>
      <c r="T126" s="7"/>
      <c r="U126" s="7"/>
      <c r="V126" s="7"/>
      <c r="W126" s="7"/>
      <c r="X126" s="7"/>
      <c r="Y126" s="11"/>
      <c r="Z126" s="7"/>
      <c r="AA126" s="10"/>
      <c r="AB126" s="10"/>
    </row>
    <row r="127" ht="12.0" customHeight="1">
      <c r="A127" s="7"/>
      <c r="B127" s="7"/>
      <c r="C127" s="7"/>
      <c r="D127" s="7"/>
      <c r="E127" s="11"/>
      <c r="F127" s="7"/>
      <c r="G127" s="7"/>
      <c r="H127" s="7"/>
      <c r="I127" s="11"/>
      <c r="J127" s="7"/>
      <c r="K127" s="7"/>
      <c r="L127" s="7"/>
      <c r="M127" s="11"/>
      <c r="N127" s="7"/>
      <c r="O127" s="7"/>
      <c r="P127" s="7"/>
      <c r="Q127" s="11"/>
      <c r="R127" s="7"/>
      <c r="S127" s="7"/>
      <c r="T127" s="7"/>
      <c r="U127" s="7"/>
      <c r="V127" s="7"/>
      <c r="W127" s="7"/>
      <c r="X127" s="7"/>
      <c r="Y127" s="11"/>
      <c r="Z127" s="7"/>
      <c r="AA127" s="10"/>
      <c r="AB127" s="10"/>
    </row>
    <row r="128" ht="12.0" customHeight="1">
      <c r="A128" s="7"/>
      <c r="B128" s="7"/>
      <c r="C128" s="7"/>
      <c r="D128" s="7"/>
      <c r="E128" s="11"/>
      <c r="F128" s="7"/>
      <c r="G128" s="7"/>
      <c r="H128" s="7"/>
      <c r="I128" s="11"/>
      <c r="J128" s="7"/>
      <c r="K128" s="7"/>
      <c r="L128" s="7"/>
      <c r="M128" s="11"/>
      <c r="N128" s="7"/>
      <c r="O128" s="7"/>
      <c r="P128" s="7"/>
      <c r="Q128" s="11"/>
      <c r="R128" s="7"/>
      <c r="S128" s="7"/>
      <c r="T128" s="7"/>
      <c r="U128" s="7"/>
      <c r="V128" s="7"/>
      <c r="W128" s="7"/>
      <c r="X128" s="7"/>
      <c r="Y128" s="11"/>
      <c r="Z128" s="7"/>
      <c r="AA128" s="10"/>
      <c r="AB128" s="10"/>
    </row>
    <row r="129" ht="12.0" customHeight="1">
      <c r="A129" s="7"/>
      <c r="B129" s="7"/>
      <c r="C129" s="7"/>
      <c r="D129" s="7"/>
      <c r="E129" s="11"/>
      <c r="F129" s="7"/>
      <c r="G129" s="7"/>
      <c r="H129" s="7"/>
      <c r="I129" s="11"/>
      <c r="J129" s="7"/>
      <c r="K129" s="7"/>
      <c r="L129" s="7"/>
      <c r="M129" s="11"/>
      <c r="N129" s="7"/>
      <c r="O129" s="7"/>
      <c r="P129" s="7"/>
      <c r="Q129" s="11"/>
      <c r="R129" s="7"/>
      <c r="S129" s="7"/>
      <c r="T129" s="7"/>
      <c r="U129" s="7"/>
      <c r="V129" s="7"/>
      <c r="W129" s="7"/>
      <c r="X129" s="7"/>
      <c r="Y129" s="11"/>
      <c r="Z129" s="7"/>
      <c r="AA129" s="10"/>
      <c r="AB129" s="10"/>
    </row>
    <row r="130" ht="12.0" customHeight="1">
      <c r="A130" s="7"/>
      <c r="B130" s="7"/>
      <c r="C130" s="7"/>
      <c r="D130" s="7"/>
      <c r="E130" s="11"/>
      <c r="F130" s="7"/>
      <c r="G130" s="7"/>
      <c r="H130" s="7"/>
      <c r="I130" s="11"/>
      <c r="J130" s="7"/>
      <c r="K130" s="7"/>
      <c r="L130" s="7"/>
      <c r="M130" s="11"/>
      <c r="N130" s="7"/>
      <c r="O130" s="7"/>
      <c r="P130" s="7"/>
      <c r="Q130" s="11"/>
      <c r="R130" s="7"/>
      <c r="S130" s="7"/>
      <c r="T130" s="7"/>
      <c r="U130" s="7"/>
      <c r="V130" s="7"/>
      <c r="W130" s="7"/>
      <c r="X130" s="7"/>
      <c r="Y130" s="11"/>
      <c r="Z130" s="7"/>
      <c r="AA130" s="10"/>
      <c r="AB130" s="10"/>
    </row>
    <row r="131" ht="12.0" customHeight="1">
      <c r="A131" s="7"/>
      <c r="B131" s="7"/>
      <c r="C131" s="7"/>
      <c r="D131" s="7"/>
      <c r="E131" s="11"/>
      <c r="F131" s="7"/>
      <c r="G131" s="7"/>
      <c r="H131" s="7"/>
      <c r="I131" s="11"/>
      <c r="J131" s="7"/>
      <c r="K131" s="7"/>
      <c r="L131" s="7"/>
      <c r="M131" s="11"/>
      <c r="N131" s="7"/>
      <c r="O131" s="7"/>
      <c r="P131" s="7"/>
      <c r="Q131" s="11"/>
      <c r="R131" s="7"/>
      <c r="S131" s="7"/>
      <c r="T131" s="7"/>
      <c r="U131" s="7"/>
      <c r="V131" s="7"/>
      <c r="W131" s="7"/>
      <c r="X131" s="7"/>
      <c r="Y131" s="11"/>
      <c r="Z131" s="7"/>
      <c r="AA131" s="10"/>
      <c r="AB131" s="10"/>
    </row>
    <row r="132" ht="12.0" customHeight="1">
      <c r="A132" s="7"/>
      <c r="B132" s="7"/>
      <c r="C132" s="7"/>
      <c r="D132" s="7"/>
      <c r="E132" s="11"/>
      <c r="F132" s="7"/>
      <c r="G132" s="7"/>
      <c r="H132" s="7"/>
      <c r="I132" s="11"/>
      <c r="J132" s="7"/>
      <c r="K132" s="7"/>
      <c r="L132" s="7"/>
      <c r="M132" s="11"/>
      <c r="N132" s="7"/>
      <c r="O132" s="7"/>
      <c r="P132" s="7"/>
      <c r="Q132" s="11"/>
      <c r="R132" s="7"/>
      <c r="S132" s="7"/>
      <c r="T132" s="7"/>
      <c r="U132" s="7"/>
      <c r="V132" s="7"/>
      <c r="W132" s="7"/>
      <c r="X132" s="7"/>
      <c r="Y132" s="11"/>
      <c r="Z132" s="7"/>
      <c r="AA132" s="10"/>
      <c r="AB132" s="10"/>
    </row>
    <row r="133" ht="12.0" customHeight="1">
      <c r="A133" s="7"/>
      <c r="B133" s="7"/>
      <c r="C133" s="7"/>
      <c r="D133" s="7"/>
      <c r="E133" s="11"/>
      <c r="F133" s="7"/>
      <c r="G133" s="7"/>
      <c r="H133" s="7"/>
      <c r="I133" s="11"/>
      <c r="J133" s="7"/>
      <c r="K133" s="7"/>
      <c r="L133" s="7"/>
      <c r="M133" s="11"/>
      <c r="N133" s="7"/>
      <c r="O133" s="7"/>
      <c r="P133" s="7"/>
      <c r="Q133" s="11"/>
      <c r="R133" s="7"/>
      <c r="S133" s="7"/>
      <c r="T133" s="7"/>
      <c r="U133" s="7"/>
      <c r="V133" s="7"/>
      <c r="W133" s="7"/>
      <c r="X133" s="7"/>
      <c r="Y133" s="11"/>
      <c r="Z133" s="7"/>
      <c r="AA133" s="10"/>
      <c r="AB133" s="10"/>
    </row>
    <row r="134" ht="12.0" customHeight="1">
      <c r="A134" s="7"/>
      <c r="B134" s="7"/>
      <c r="C134" s="7"/>
      <c r="D134" s="7"/>
      <c r="E134" s="11"/>
      <c r="F134" s="7"/>
      <c r="G134" s="7"/>
      <c r="H134" s="7"/>
      <c r="I134" s="11"/>
      <c r="J134" s="7"/>
      <c r="K134" s="7"/>
      <c r="L134" s="7"/>
      <c r="M134" s="11"/>
      <c r="N134" s="7"/>
      <c r="O134" s="7"/>
      <c r="P134" s="7"/>
      <c r="Q134" s="11"/>
      <c r="R134" s="7"/>
      <c r="S134" s="7"/>
      <c r="T134" s="7"/>
      <c r="U134" s="7"/>
      <c r="V134" s="7"/>
      <c r="W134" s="7"/>
      <c r="X134" s="7"/>
      <c r="Y134" s="11"/>
      <c r="Z134" s="7"/>
      <c r="AA134" s="10"/>
      <c r="AB134" s="10"/>
    </row>
    <row r="135" ht="12.0" customHeight="1">
      <c r="A135" s="7"/>
      <c r="B135" s="7"/>
      <c r="C135" s="7"/>
      <c r="D135" s="7"/>
      <c r="E135" s="11"/>
      <c r="F135" s="7"/>
      <c r="G135" s="7"/>
      <c r="H135" s="7"/>
      <c r="I135" s="11"/>
      <c r="J135" s="7"/>
      <c r="K135" s="7"/>
      <c r="L135" s="7"/>
      <c r="M135" s="11"/>
      <c r="N135" s="7"/>
      <c r="O135" s="7"/>
      <c r="P135" s="7"/>
      <c r="Q135" s="11"/>
      <c r="R135" s="7"/>
      <c r="S135" s="7"/>
      <c r="T135" s="7"/>
      <c r="U135" s="7"/>
      <c r="V135" s="7"/>
      <c r="W135" s="7"/>
      <c r="X135" s="7"/>
      <c r="Y135" s="11"/>
      <c r="Z135" s="7"/>
      <c r="AA135" s="10"/>
      <c r="AB135" s="10"/>
    </row>
    <row r="136" ht="12.0" customHeight="1">
      <c r="A136" s="7"/>
      <c r="B136" s="7"/>
      <c r="C136" s="7"/>
      <c r="D136" s="7"/>
      <c r="E136" s="11"/>
      <c r="F136" s="7"/>
      <c r="G136" s="7"/>
      <c r="H136" s="7"/>
      <c r="I136" s="11"/>
      <c r="J136" s="7"/>
      <c r="K136" s="7"/>
      <c r="L136" s="7"/>
      <c r="M136" s="11"/>
      <c r="N136" s="7"/>
      <c r="O136" s="7"/>
      <c r="P136" s="7"/>
      <c r="Q136" s="11"/>
      <c r="R136" s="7"/>
      <c r="S136" s="7"/>
      <c r="T136" s="7"/>
      <c r="U136" s="7"/>
      <c r="V136" s="7"/>
      <c r="W136" s="7"/>
      <c r="X136" s="7"/>
      <c r="Y136" s="11"/>
      <c r="Z136" s="7"/>
      <c r="AA136" s="10"/>
      <c r="AB136" s="10"/>
    </row>
    <row r="137" ht="12.0" customHeight="1">
      <c r="A137" s="7"/>
      <c r="B137" s="7"/>
      <c r="C137" s="7"/>
      <c r="D137" s="7"/>
      <c r="E137" s="11"/>
      <c r="F137" s="7"/>
      <c r="G137" s="7"/>
      <c r="H137" s="7"/>
      <c r="I137" s="11"/>
      <c r="J137" s="7"/>
      <c r="K137" s="7"/>
      <c r="L137" s="7"/>
      <c r="M137" s="11"/>
      <c r="N137" s="7"/>
      <c r="O137" s="7"/>
      <c r="P137" s="7"/>
      <c r="Q137" s="11"/>
      <c r="R137" s="7"/>
      <c r="S137" s="7"/>
      <c r="T137" s="7"/>
      <c r="U137" s="7"/>
      <c r="V137" s="7"/>
      <c r="W137" s="7"/>
      <c r="X137" s="7"/>
      <c r="Y137" s="11"/>
      <c r="Z137" s="7"/>
      <c r="AA137" s="10"/>
      <c r="AB137" s="10"/>
    </row>
    <row r="138" ht="12.0" customHeight="1">
      <c r="A138" s="7"/>
      <c r="B138" s="7"/>
      <c r="C138" s="7"/>
      <c r="D138" s="7"/>
      <c r="E138" s="11"/>
      <c r="F138" s="7"/>
      <c r="G138" s="7"/>
      <c r="H138" s="7"/>
      <c r="I138" s="11"/>
      <c r="J138" s="7"/>
      <c r="K138" s="7"/>
      <c r="L138" s="7"/>
      <c r="M138" s="11"/>
      <c r="N138" s="7"/>
      <c r="O138" s="7"/>
      <c r="P138" s="7"/>
      <c r="Q138" s="11"/>
      <c r="R138" s="7"/>
      <c r="S138" s="7"/>
      <c r="T138" s="7"/>
      <c r="U138" s="7"/>
      <c r="V138" s="7"/>
      <c r="W138" s="7"/>
      <c r="X138" s="7"/>
      <c r="Y138" s="11"/>
      <c r="Z138" s="7"/>
      <c r="AA138" s="10"/>
      <c r="AB138" s="10"/>
    </row>
    <row r="139" ht="12.0" customHeight="1">
      <c r="A139" s="7"/>
      <c r="B139" s="7"/>
      <c r="C139" s="7"/>
      <c r="D139" s="7"/>
      <c r="E139" s="11"/>
      <c r="F139" s="7"/>
      <c r="G139" s="7"/>
      <c r="H139" s="7"/>
      <c r="I139" s="11"/>
      <c r="J139" s="7"/>
      <c r="K139" s="7"/>
      <c r="L139" s="7"/>
      <c r="M139" s="11"/>
      <c r="N139" s="7"/>
      <c r="O139" s="7"/>
      <c r="P139" s="7"/>
      <c r="Q139" s="11"/>
      <c r="R139" s="7"/>
      <c r="S139" s="7"/>
      <c r="T139" s="7"/>
      <c r="U139" s="7"/>
      <c r="V139" s="7"/>
      <c r="W139" s="7"/>
      <c r="X139" s="7"/>
      <c r="Y139" s="11"/>
      <c r="Z139" s="7"/>
      <c r="AA139" s="10"/>
      <c r="AB139" s="10"/>
    </row>
    <row r="140" ht="12.0" customHeight="1">
      <c r="A140" s="7"/>
      <c r="B140" s="7"/>
      <c r="C140" s="7"/>
      <c r="D140" s="7"/>
      <c r="E140" s="11"/>
      <c r="F140" s="7"/>
      <c r="G140" s="7"/>
      <c r="H140" s="7"/>
      <c r="I140" s="11"/>
      <c r="J140" s="7"/>
      <c r="K140" s="7"/>
      <c r="L140" s="7"/>
      <c r="M140" s="11"/>
      <c r="N140" s="7"/>
      <c r="O140" s="7"/>
      <c r="P140" s="7"/>
      <c r="Q140" s="11"/>
      <c r="R140" s="7"/>
      <c r="S140" s="7"/>
      <c r="T140" s="7"/>
      <c r="U140" s="7"/>
      <c r="V140" s="7"/>
      <c r="W140" s="7"/>
      <c r="X140" s="7"/>
      <c r="Y140" s="11"/>
      <c r="Z140" s="7"/>
      <c r="AA140" s="10"/>
      <c r="AB140" s="10"/>
    </row>
    <row r="141" ht="12.0" customHeight="1">
      <c r="A141" s="7"/>
      <c r="B141" s="7"/>
      <c r="C141" s="7"/>
      <c r="D141" s="7"/>
      <c r="E141" s="11"/>
      <c r="F141" s="7"/>
      <c r="G141" s="7"/>
      <c r="H141" s="7"/>
      <c r="I141" s="11"/>
      <c r="J141" s="7"/>
      <c r="K141" s="7"/>
      <c r="L141" s="7"/>
      <c r="M141" s="11"/>
      <c r="N141" s="7"/>
      <c r="O141" s="7"/>
      <c r="P141" s="7"/>
      <c r="Q141" s="11"/>
      <c r="R141" s="7"/>
      <c r="S141" s="7"/>
      <c r="T141" s="7"/>
      <c r="U141" s="7"/>
      <c r="V141" s="7"/>
      <c r="W141" s="7"/>
      <c r="X141" s="7"/>
      <c r="Y141" s="11"/>
      <c r="Z141" s="7"/>
      <c r="AA141" s="10"/>
      <c r="AB141" s="10"/>
    </row>
    <row r="142" ht="12.0" customHeight="1">
      <c r="A142" s="7"/>
      <c r="B142" s="7"/>
      <c r="C142" s="7"/>
      <c r="D142" s="7"/>
      <c r="E142" s="11"/>
      <c r="F142" s="7"/>
      <c r="G142" s="7"/>
      <c r="H142" s="7"/>
      <c r="I142" s="11"/>
      <c r="J142" s="7"/>
      <c r="K142" s="7"/>
      <c r="L142" s="7"/>
      <c r="M142" s="11"/>
      <c r="N142" s="7"/>
      <c r="O142" s="7"/>
      <c r="P142" s="7"/>
      <c r="Q142" s="11"/>
      <c r="R142" s="7"/>
      <c r="S142" s="7"/>
      <c r="T142" s="7"/>
      <c r="U142" s="7"/>
      <c r="V142" s="7"/>
      <c r="W142" s="7"/>
      <c r="X142" s="7"/>
      <c r="Y142" s="11"/>
      <c r="Z142" s="7"/>
      <c r="AA142" s="10"/>
      <c r="AB142" s="10"/>
    </row>
    <row r="143" ht="12.0" customHeight="1">
      <c r="A143" s="7"/>
      <c r="B143" s="7"/>
      <c r="C143" s="7"/>
      <c r="D143" s="7"/>
      <c r="E143" s="11"/>
      <c r="F143" s="7"/>
      <c r="G143" s="7"/>
      <c r="H143" s="7"/>
      <c r="I143" s="11"/>
      <c r="J143" s="7"/>
      <c r="K143" s="7"/>
      <c r="L143" s="7"/>
      <c r="M143" s="11"/>
      <c r="N143" s="7"/>
      <c r="O143" s="7"/>
      <c r="P143" s="7"/>
      <c r="Q143" s="11"/>
      <c r="R143" s="7"/>
      <c r="S143" s="7"/>
      <c r="T143" s="7"/>
      <c r="U143" s="7"/>
      <c r="V143" s="7"/>
      <c r="W143" s="7"/>
      <c r="X143" s="7"/>
      <c r="Y143" s="11"/>
      <c r="Z143" s="7"/>
      <c r="AA143" s="10"/>
      <c r="AB143" s="10"/>
    </row>
    <row r="144" ht="12.0" customHeight="1">
      <c r="A144" s="7"/>
      <c r="B144" s="7"/>
      <c r="C144" s="7"/>
      <c r="D144" s="7"/>
      <c r="E144" s="11"/>
      <c r="F144" s="7"/>
      <c r="G144" s="7"/>
      <c r="H144" s="7"/>
      <c r="I144" s="11"/>
      <c r="J144" s="7"/>
      <c r="K144" s="7"/>
      <c r="L144" s="7"/>
      <c r="M144" s="11"/>
      <c r="N144" s="7"/>
      <c r="O144" s="7"/>
      <c r="P144" s="7"/>
      <c r="Q144" s="11"/>
      <c r="R144" s="7"/>
      <c r="S144" s="7"/>
      <c r="T144" s="7"/>
      <c r="U144" s="7"/>
      <c r="V144" s="7"/>
      <c r="W144" s="7"/>
      <c r="X144" s="7"/>
      <c r="Y144" s="11"/>
      <c r="Z144" s="7"/>
      <c r="AA144" s="10"/>
      <c r="AB144" s="10"/>
    </row>
    <row r="145" ht="12.0" customHeight="1">
      <c r="A145" s="7"/>
      <c r="B145" s="7"/>
      <c r="C145" s="7"/>
      <c r="D145" s="7"/>
      <c r="E145" s="11"/>
      <c r="F145" s="7"/>
      <c r="G145" s="7"/>
      <c r="H145" s="7"/>
      <c r="I145" s="11"/>
      <c r="J145" s="7"/>
      <c r="K145" s="7"/>
      <c r="L145" s="7"/>
      <c r="M145" s="11"/>
      <c r="N145" s="7"/>
      <c r="O145" s="7"/>
      <c r="P145" s="7"/>
      <c r="Q145" s="11"/>
      <c r="R145" s="7"/>
      <c r="S145" s="7"/>
      <c r="T145" s="7"/>
      <c r="U145" s="7"/>
      <c r="V145" s="7"/>
      <c r="W145" s="7"/>
      <c r="X145" s="7"/>
      <c r="Y145" s="11"/>
      <c r="Z145" s="7"/>
      <c r="AA145" s="10"/>
      <c r="AB145" s="10"/>
    </row>
    <row r="146" ht="12.0" customHeight="1">
      <c r="A146" s="7"/>
      <c r="B146" s="7"/>
      <c r="C146" s="7"/>
      <c r="D146" s="7"/>
      <c r="E146" s="11"/>
      <c r="F146" s="7"/>
      <c r="G146" s="7"/>
      <c r="H146" s="7"/>
      <c r="I146" s="11"/>
      <c r="J146" s="7"/>
      <c r="K146" s="7"/>
      <c r="L146" s="7"/>
      <c r="M146" s="11"/>
      <c r="N146" s="7"/>
      <c r="O146" s="7"/>
      <c r="P146" s="7"/>
      <c r="Q146" s="11"/>
      <c r="R146" s="7"/>
      <c r="S146" s="7"/>
      <c r="T146" s="7"/>
      <c r="U146" s="7"/>
      <c r="V146" s="7"/>
      <c r="W146" s="7"/>
      <c r="X146" s="7"/>
      <c r="Y146" s="11"/>
      <c r="Z146" s="7"/>
      <c r="AA146" s="10"/>
      <c r="AB146" s="10"/>
    </row>
    <row r="147" ht="12.0" customHeight="1">
      <c r="A147" s="7"/>
      <c r="B147" s="7"/>
      <c r="C147" s="7"/>
      <c r="D147" s="7"/>
      <c r="E147" s="11"/>
      <c r="F147" s="7"/>
      <c r="G147" s="7"/>
      <c r="H147" s="7"/>
      <c r="I147" s="11"/>
      <c r="J147" s="7"/>
      <c r="K147" s="7"/>
      <c r="L147" s="7"/>
      <c r="M147" s="11"/>
      <c r="N147" s="7"/>
      <c r="O147" s="7"/>
      <c r="P147" s="7"/>
      <c r="Q147" s="11"/>
      <c r="R147" s="7"/>
      <c r="S147" s="7"/>
      <c r="T147" s="7"/>
      <c r="U147" s="7"/>
      <c r="V147" s="7"/>
      <c r="W147" s="7"/>
      <c r="X147" s="7"/>
      <c r="Y147" s="11"/>
      <c r="Z147" s="7"/>
      <c r="AA147" s="10"/>
      <c r="AB147" s="10"/>
    </row>
    <row r="148" ht="12.0" customHeight="1">
      <c r="A148" s="7"/>
      <c r="B148" s="7"/>
      <c r="C148" s="7"/>
      <c r="D148" s="7"/>
      <c r="E148" s="11"/>
      <c r="F148" s="7"/>
      <c r="G148" s="7"/>
      <c r="H148" s="7"/>
      <c r="I148" s="11"/>
      <c r="J148" s="7"/>
      <c r="K148" s="7"/>
      <c r="L148" s="7"/>
      <c r="M148" s="11"/>
      <c r="N148" s="7"/>
      <c r="O148" s="7"/>
      <c r="P148" s="7"/>
      <c r="Q148" s="11"/>
      <c r="R148" s="7"/>
      <c r="S148" s="7"/>
      <c r="T148" s="7"/>
      <c r="U148" s="7"/>
      <c r="V148" s="7"/>
      <c r="W148" s="7"/>
      <c r="X148" s="7"/>
      <c r="Y148" s="11"/>
      <c r="Z148" s="7"/>
      <c r="AA148" s="10"/>
      <c r="AB148" s="10"/>
    </row>
    <row r="149" ht="12.0" customHeight="1">
      <c r="A149" s="7"/>
      <c r="B149" s="7"/>
      <c r="C149" s="7"/>
      <c r="D149" s="7"/>
      <c r="E149" s="11"/>
      <c r="F149" s="7"/>
      <c r="G149" s="7"/>
      <c r="H149" s="7"/>
      <c r="I149" s="11"/>
      <c r="J149" s="7"/>
      <c r="K149" s="7"/>
      <c r="L149" s="7"/>
      <c r="M149" s="11"/>
      <c r="N149" s="7"/>
      <c r="O149" s="7"/>
      <c r="P149" s="7"/>
      <c r="Q149" s="11"/>
      <c r="R149" s="7"/>
      <c r="S149" s="7"/>
      <c r="T149" s="7"/>
      <c r="U149" s="7"/>
      <c r="V149" s="7"/>
      <c r="W149" s="7"/>
      <c r="X149" s="7"/>
      <c r="Y149" s="11"/>
      <c r="Z149" s="7"/>
      <c r="AA149" s="10"/>
      <c r="AB149" s="10"/>
    </row>
    <row r="150" ht="12.0" customHeight="1">
      <c r="A150" s="7"/>
      <c r="B150" s="7"/>
      <c r="C150" s="7"/>
      <c r="D150" s="7"/>
      <c r="E150" s="11"/>
      <c r="F150" s="7"/>
      <c r="G150" s="7"/>
      <c r="H150" s="7"/>
      <c r="I150" s="11"/>
      <c r="J150" s="7"/>
      <c r="K150" s="7"/>
      <c r="L150" s="7"/>
      <c r="M150" s="11"/>
      <c r="N150" s="7"/>
      <c r="O150" s="7"/>
      <c r="P150" s="7"/>
      <c r="Q150" s="11"/>
      <c r="R150" s="7"/>
      <c r="S150" s="7"/>
      <c r="T150" s="7"/>
      <c r="U150" s="7"/>
      <c r="V150" s="7"/>
      <c r="W150" s="7"/>
      <c r="X150" s="7"/>
      <c r="Y150" s="11"/>
      <c r="Z150" s="7"/>
      <c r="AA150" s="10"/>
      <c r="AB150" s="10"/>
    </row>
    <row r="151" ht="12.0" customHeight="1">
      <c r="A151" s="7"/>
      <c r="B151" s="7"/>
      <c r="C151" s="7"/>
      <c r="D151" s="7"/>
      <c r="E151" s="11"/>
      <c r="F151" s="7"/>
      <c r="G151" s="7"/>
      <c r="H151" s="7"/>
      <c r="I151" s="11"/>
      <c r="J151" s="7"/>
      <c r="K151" s="7"/>
      <c r="L151" s="7"/>
      <c r="M151" s="11"/>
      <c r="N151" s="7"/>
      <c r="O151" s="7"/>
      <c r="P151" s="7"/>
      <c r="Q151" s="11"/>
      <c r="R151" s="7"/>
      <c r="S151" s="7"/>
      <c r="T151" s="7"/>
      <c r="U151" s="7"/>
      <c r="V151" s="7"/>
      <c r="W151" s="7"/>
      <c r="X151" s="7"/>
      <c r="Y151" s="11"/>
      <c r="Z151" s="7"/>
      <c r="AA151" s="10"/>
      <c r="AB151" s="10"/>
    </row>
    <row r="152" ht="12.0" customHeight="1">
      <c r="A152" s="7"/>
      <c r="B152" s="7"/>
      <c r="C152" s="7"/>
      <c r="D152" s="7"/>
      <c r="E152" s="11"/>
      <c r="F152" s="7"/>
      <c r="G152" s="7"/>
      <c r="H152" s="7"/>
      <c r="I152" s="11"/>
      <c r="J152" s="7"/>
      <c r="K152" s="7"/>
      <c r="L152" s="7"/>
      <c r="M152" s="11"/>
      <c r="N152" s="7"/>
      <c r="O152" s="7"/>
      <c r="P152" s="7"/>
      <c r="Q152" s="11"/>
      <c r="R152" s="7"/>
      <c r="S152" s="7"/>
      <c r="T152" s="7"/>
      <c r="U152" s="7"/>
      <c r="V152" s="7"/>
      <c r="W152" s="7"/>
      <c r="X152" s="7"/>
      <c r="Y152" s="11"/>
      <c r="Z152" s="7"/>
      <c r="AA152" s="10"/>
      <c r="AB152" s="10"/>
    </row>
    <row r="153" ht="12.0" customHeight="1">
      <c r="A153" s="7"/>
      <c r="B153" s="7"/>
      <c r="C153" s="7"/>
      <c r="D153" s="7"/>
      <c r="E153" s="11"/>
      <c r="F153" s="7"/>
      <c r="G153" s="7"/>
      <c r="H153" s="7"/>
      <c r="I153" s="11"/>
      <c r="J153" s="7"/>
      <c r="K153" s="7"/>
      <c r="L153" s="7"/>
      <c r="M153" s="11"/>
      <c r="N153" s="7"/>
      <c r="O153" s="7"/>
      <c r="P153" s="7"/>
      <c r="Q153" s="11"/>
      <c r="R153" s="7"/>
      <c r="S153" s="7"/>
      <c r="T153" s="7"/>
      <c r="U153" s="7"/>
      <c r="V153" s="7"/>
      <c r="W153" s="7"/>
      <c r="X153" s="7"/>
      <c r="Y153" s="11"/>
      <c r="Z153" s="7"/>
      <c r="AA153" s="10"/>
      <c r="AB153" s="10"/>
    </row>
    <row r="154" ht="12.0" customHeight="1">
      <c r="A154" s="7"/>
      <c r="B154" s="7"/>
      <c r="C154" s="7"/>
      <c r="D154" s="7"/>
      <c r="E154" s="11"/>
      <c r="F154" s="7"/>
      <c r="G154" s="7"/>
      <c r="H154" s="7"/>
      <c r="I154" s="11"/>
      <c r="J154" s="7"/>
      <c r="K154" s="7"/>
      <c r="L154" s="7"/>
      <c r="M154" s="11"/>
      <c r="N154" s="7"/>
      <c r="O154" s="7"/>
      <c r="P154" s="7"/>
      <c r="Q154" s="11"/>
      <c r="R154" s="7"/>
      <c r="S154" s="7"/>
      <c r="T154" s="7"/>
      <c r="U154" s="7"/>
      <c r="V154" s="7"/>
      <c r="W154" s="7"/>
      <c r="X154" s="7"/>
      <c r="Y154" s="11"/>
      <c r="Z154" s="7"/>
      <c r="AA154" s="10"/>
      <c r="AB154" s="10"/>
    </row>
    <row r="155" ht="12.0" customHeight="1">
      <c r="A155" s="7"/>
      <c r="B155" s="7"/>
      <c r="C155" s="7"/>
      <c r="D155" s="7"/>
      <c r="E155" s="11"/>
      <c r="F155" s="7"/>
      <c r="G155" s="7"/>
      <c r="H155" s="7"/>
      <c r="I155" s="11"/>
      <c r="J155" s="7"/>
      <c r="K155" s="7"/>
      <c r="L155" s="7"/>
      <c r="M155" s="11"/>
      <c r="N155" s="7"/>
      <c r="O155" s="7"/>
      <c r="P155" s="7"/>
      <c r="Q155" s="11"/>
      <c r="R155" s="7"/>
      <c r="S155" s="7"/>
      <c r="T155" s="7"/>
      <c r="U155" s="7"/>
      <c r="V155" s="7"/>
      <c r="W155" s="7"/>
      <c r="X155" s="7"/>
      <c r="Y155" s="11"/>
      <c r="Z155" s="7"/>
      <c r="AA155" s="10"/>
      <c r="AB155" s="10"/>
    </row>
    <row r="156" ht="12.0" customHeight="1">
      <c r="A156" s="7"/>
      <c r="B156" s="7"/>
      <c r="C156" s="7"/>
      <c r="D156" s="7"/>
      <c r="E156" s="11"/>
      <c r="F156" s="7"/>
      <c r="G156" s="7"/>
      <c r="H156" s="7"/>
      <c r="I156" s="11"/>
      <c r="J156" s="7"/>
      <c r="K156" s="7"/>
      <c r="L156" s="7"/>
      <c r="M156" s="11"/>
      <c r="N156" s="7"/>
      <c r="O156" s="7"/>
      <c r="P156" s="7"/>
      <c r="Q156" s="11"/>
      <c r="R156" s="7"/>
      <c r="S156" s="7"/>
      <c r="T156" s="7"/>
      <c r="U156" s="7"/>
      <c r="V156" s="7"/>
      <c r="W156" s="7"/>
      <c r="X156" s="7"/>
      <c r="Y156" s="11"/>
      <c r="Z156" s="7"/>
      <c r="AA156" s="10"/>
      <c r="AB156" s="10"/>
    </row>
    <row r="157" ht="12.0" customHeight="1">
      <c r="A157" s="7"/>
      <c r="B157" s="7"/>
      <c r="C157" s="7"/>
      <c r="D157" s="7"/>
      <c r="E157" s="11"/>
      <c r="F157" s="7"/>
      <c r="G157" s="7"/>
      <c r="H157" s="7"/>
      <c r="I157" s="11"/>
      <c r="J157" s="7"/>
      <c r="K157" s="7"/>
      <c r="L157" s="7"/>
      <c r="M157" s="11"/>
      <c r="N157" s="7"/>
      <c r="O157" s="7"/>
      <c r="P157" s="7"/>
      <c r="Q157" s="11"/>
      <c r="R157" s="7"/>
      <c r="S157" s="7"/>
      <c r="T157" s="7"/>
      <c r="U157" s="7"/>
      <c r="V157" s="7"/>
      <c r="W157" s="7"/>
      <c r="X157" s="7"/>
      <c r="Y157" s="11"/>
      <c r="Z157" s="7"/>
      <c r="AA157" s="10"/>
      <c r="AB157" s="10"/>
    </row>
    <row r="158" ht="12.0" customHeight="1">
      <c r="A158" s="7"/>
      <c r="B158" s="7"/>
      <c r="C158" s="7"/>
      <c r="D158" s="7"/>
      <c r="E158" s="11"/>
      <c r="F158" s="7"/>
      <c r="G158" s="7"/>
      <c r="H158" s="7"/>
      <c r="I158" s="11"/>
      <c r="J158" s="7"/>
      <c r="K158" s="7"/>
      <c r="L158" s="7"/>
      <c r="M158" s="11"/>
      <c r="N158" s="7"/>
      <c r="O158" s="7"/>
      <c r="P158" s="7"/>
      <c r="Q158" s="11"/>
      <c r="R158" s="7"/>
      <c r="S158" s="7"/>
      <c r="T158" s="7"/>
      <c r="U158" s="7"/>
      <c r="V158" s="7"/>
      <c r="W158" s="7"/>
      <c r="X158" s="7"/>
      <c r="Y158" s="11"/>
      <c r="Z158" s="7"/>
      <c r="AA158" s="10"/>
      <c r="AB158" s="10"/>
    </row>
    <row r="159" ht="12.0" customHeight="1">
      <c r="A159" s="7"/>
      <c r="B159" s="7"/>
      <c r="C159" s="7"/>
      <c r="D159" s="7"/>
      <c r="E159" s="11"/>
      <c r="F159" s="7"/>
      <c r="G159" s="7"/>
      <c r="H159" s="7"/>
      <c r="I159" s="11"/>
      <c r="J159" s="7"/>
      <c r="K159" s="7"/>
      <c r="L159" s="7"/>
      <c r="M159" s="11"/>
      <c r="N159" s="7"/>
      <c r="O159" s="7"/>
      <c r="P159" s="7"/>
      <c r="Q159" s="11"/>
      <c r="R159" s="7"/>
      <c r="S159" s="7"/>
      <c r="T159" s="7"/>
      <c r="U159" s="7"/>
      <c r="V159" s="7"/>
      <c r="W159" s="7"/>
      <c r="X159" s="7"/>
      <c r="Y159" s="11"/>
      <c r="Z159" s="7"/>
      <c r="AA159" s="10"/>
      <c r="AB159" s="10"/>
    </row>
    <row r="160" ht="12.0" customHeight="1">
      <c r="A160" s="7"/>
      <c r="B160" s="7"/>
      <c r="C160" s="7"/>
      <c r="D160" s="7"/>
      <c r="E160" s="11"/>
      <c r="F160" s="7"/>
      <c r="G160" s="7"/>
      <c r="H160" s="7"/>
      <c r="I160" s="11"/>
      <c r="J160" s="7"/>
      <c r="K160" s="7"/>
      <c r="L160" s="7"/>
      <c r="M160" s="11"/>
      <c r="N160" s="7"/>
      <c r="O160" s="7"/>
      <c r="P160" s="7"/>
      <c r="Q160" s="11"/>
      <c r="R160" s="7"/>
      <c r="S160" s="7"/>
      <c r="T160" s="7"/>
      <c r="U160" s="7"/>
      <c r="V160" s="7"/>
      <c r="W160" s="7"/>
      <c r="X160" s="7"/>
      <c r="Y160" s="11"/>
      <c r="Z160" s="7"/>
      <c r="AA160" s="10"/>
      <c r="AB160" s="10"/>
    </row>
    <row r="161" ht="12.0" customHeight="1">
      <c r="A161" s="7"/>
      <c r="B161" s="7"/>
      <c r="C161" s="7"/>
      <c r="D161" s="7"/>
      <c r="E161" s="11"/>
      <c r="F161" s="7"/>
      <c r="G161" s="7"/>
      <c r="H161" s="7"/>
      <c r="I161" s="11"/>
      <c r="J161" s="7"/>
      <c r="K161" s="7"/>
      <c r="L161" s="7"/>
      <c r="M161" s="11"/>
      <c r="N161" s="7"/>
      <c r="O161" s="7"/>
      <c r="P161" s="7"/>
      <c r="Q161" s="11"/>
      <c r="R161" s="7"/>
      <c r="S161" s="7"/>
      <c r="T161" s="7"/>
      <c r="U161" s="7"/>
      <c r="V161" s="7"/>
      <c r="W161" s="7"/>
      <c r="X161" s="7"/>
      <c r="Y161" s="11"/>
      <c r="Z161" s="7"/>
      <c r="AA161" s="10"/>
      <c r="AB161" s="10"/>
    </row>
    <row r="162" ht="12.0" customHeight="1">
      <c r="A162" s="7"/>
      <c r="B162" s="7"/>
      <c r="C162" s="7"/>
      <c r="D162" s="7"/>
      <c r="E162" s="11"/>
      <c r="F162" s="7"/>
      <c r="G162" s="7"/>
      <c r="H162" s="7"/>
      <c r="I162" s="11"/>
      <c r="J162" s="7"/>
      <c r="K162" s="7"/>
      <c r="L162" s="7"/>
      <c r="M162" s="11"/>
      <c r="N162" s="7"/>
      <c r="O162" s="7"/>
      <c r="P162" s="7"/>
      <c r="Q162" s="11"/>
      <c r="R162" s="7"/>
      <c r="S162" s="7"/>
      <c r="T162" s="7"/>
      <c r="U162" s="7"/>
      <c r="V162" s="7"/>
      <c r="W162" s="7"/>
      <c r="X162" s="7"/>
      <c r="Y162" s="11"/>
      <c r="Z162" s="7"/>
      <c r="AA162" s="10"/>
      <c r="AB162" s="10"/>
    </row>
    <row r="163" ht="12.0" customHeight="1">
      <c r="A163" s="7"/>
      <c r="B163" s="7"/>
      <c r="C163" s="7"/>
      <c r="D163" s="7"/>
      <c r="E163" s="11"/>
      <c r="F163" s="7"/>
      <c r="G163" s="7"/>
      <c r="H163" s="7"/>
      <c r="I163" s="11"/>
      <c r="J163" s="7"/>
      <c r="K163" s="7"/>
      <c r="L163" s="7"/>
      <c r="M163" s="11"/>
      <c r="N163" s="7"/>
      <c r="O163" s="7"/>
      <c r="P163" s="7"/>
      <c r="Q163" s="11"/>
      <c r="R163" s="7"/>
      <c r="S163" s="7"/>
      <c r="T163" s="7"/>
      <c r="U163" s="7"/>
      <c r="V163" s="7"/>
      <c r="W163" s="7"/>
      <c r="X163" s="7"/>
      <c r="Y163" s="11"/>
      <c r="Z163" s="7"/>
      <c r="AA163" s="10"/>
      <c r="AB163" s="10"/>
    </row>
    <row r="164" ht="12.0" customHeight="1">
      <c r="A164" s="7"/>
      <c r="B164" s="7"/>
      <c r="C164" s="7"/>
      <c r="D164" s="7"/>
      <c r="E164" s="11"/>
      <c r="F164" s="7"/>
      <c r="G164" s="7"/>
      <c r="H164" s="7"/>
      <c r="I164" s="11"/>
      <c r="J164" s="7"/>
      <c r="K164" s="7"/>
      <c r="L164" s="7"/>
      <c r="M164" s="11"/>
      <c r="N164" s="7"/>
      <c r="O164" s="7"/>
      <c r="P164" s="7"/>
      <c r="Q164" s="11"/>
      <c r="R164" s="7"/>
      <c r="S164" s="7"/>
      <c r="T164" s="7"/>
      <c r="U164" s="7"/>
      <c r="V164" s="7"/>
      <c r="W164" s="7"/>
      <c r="X164" s="7"/>
      <c r="Y164" s="11"/>
      <c r="Z164" s="7"/>
      <c r="AA164" s="10"/>
      <c r="AB164" s="10"/>
    </row>
    <row r="165" ht="12.0" customHeight="1">
      <c r="A165" s="7"/>
      <c r="B165" s="7"/>
      <c r="C165" s="7"/>
      <c r="D165" s="7"/>
      <c r="E165" s="11"/>
      <c r="F165" s="7"/>
      <c r="G165" s="7"/>
      <c r="H165" s="7"/>
      <c r="I165" s="11"/>
      <c r="J165" s="7"/>
      <c r="K165" s="7"/>
      <c r="L165" s="7"/>
      <c r="M165" s="11"/>
      <c r="N165" s="7"/>
      <c r="O165" s="7"/>
      <c r="P165" s="7"/>
      <c r="Q165" s="11"/>
      <c r="R165" s="7"/>
      <c r="S165" s="7"/>
      <c r="T165" s="7"/>
      <c r="U165" s="7"/>
      <c r="V165" s="7"/>
      <c r="W165" s="7"/>
      <c r="X165" s="7"/>
      <c r="Y165" s="11"/>
      <c r="Z165" s="7"/>
      <c r="AA165" s="10"/>
      <c r="AB165" s="10"/>
    </row>
    <row r="166" ht="12.0" customHeight="1">
      <c r="A166" s="7"/>
      <c r="B166" s="7"/>
      <c r="C166" s="7"/>
      <c r="D166" s="7"/>
      <c r="E166" s="11"/>
      <c r="F166" s="7"/>
      <c r="G166" s="7"/>
      <c r="H166" s="7"/>
      <c r="I166" s="11"/>
      <c r="J166" s="7"/>
      <c r="K166" s="7"/>
      <c r="L166" s="7"/>
      <c r="M166" s="11"/>
      <c r="N166" s="7"/>
      <c r="O166" s="7"/>
      <c r="P166" s="7"/>
      <c r="Q166" s="11"/>
      <c r="R166" s="7"/>
      <c r="S166" s="7"/>
      <c r="T166" s="7"/>
      <c r="U166" s="7"/>
      <c r="V166" s="7"/>
      <c r="W166" s="7"/>
      <c r="X166" s="7"/>
      <c r="Y166" s="11"/>
      <c r="Z166" s="7"/>
      <c r="AA166" s="10"/>
      <c r="AB166" s="10"/>
    </row>
    <row r="167" ht="12.0" customHeight="1">
      <c r="A167" s="7"/>
      <c r="B167" s="7"/>
      <c r="C167" s="7"/>
      <c r="D167" s="7"/>
      <c r="E167" s="11"/>
      <c r="F167" s="7"/>
      <c r="G167" s="7"/>
      <c r="H167" s="7"/>
      <c r="I167" s="11"/>
      <c r="J167" s="7"/>
      <c r="K167" s="7"/>
      <c r="L167" s="7"/>
      <c r="M167" s="11"/>
      <c r="N167" s="7"/>
      <c r="O167" s="7"/>
      <c r="P167" s="7"/>
      <c r="Q167" s="11"/>
      <c r="R167" s="7"/>
      <c r="S167" s="7"/>
      <c r="T167" s="7"/>
      <c r="U167" s="7"/>
      <c r="V167" s="7"/>
      <c r="W167" s="7"/>
      <c r="X167" s="7"/>
      <c r="Y167" s="11"/>
      <c r="Z167" s="7"/>
      <c r="AA167" s="10"/>
      <c r="AB167" s="10"/>
    </row>
    <row r="168" ht="12.0" customHeight="1">
      <c r="A168" s="7"/>
      <c r="B168" s="7"/>
      <c r="C168" s="7"/>
      <c r="D168" s="7"/>
      <c r="E168" s="11"/>
      <c r="F168" s="7"/>
      <c r="G168" s="7"/>
      <c r="H168" s="7"/>
      <c r="I168" s="11"/>
      <c r="J168" s="7"/>
      <c r="K168" s="7"/>
      <c r="L168" s="7"/>
      <c r="M168" s="11"/>
      <c r="N168" s="7"/>
      <c r="O168" s="7"/>
      <c r="P168" s="7"/>
      <c r="Q168" s="11"/>
      <c r="R168" s="7"/>
      <c r="S168" s="7"/>
      <c r="T168" s="7"/>
      <c r="U168" s="7"/>
      <c r="V168" s="7"/>
      <c r="W168" s="7"/>
      <c r="X168" s="7"/>
      <c r="Y168" s="11"/>
      <c r="Z168" s="7"/>
      <c r="AA168" s="10"/>
      <c r="AB168" s="10"/>
    </row>
    <row r="169" ht="12.0" customHeight="1">
      <c r="A169" s="7"/>
      <c r="B169" s="7"/>
      <c r="C169" s="7"/>
      <c r="D169" s="7"/>
      <c r="E169" s="11"/>
      <c r="F169" s="7"/>
      <c r="G169" s="7"/>
      <c r="H169" s="7"/>
      <c r="I169" s="11"/>
      <c r="J169" s="7"/>
      <c r="K169" s="7"/>
      <c r="L169" s="7"/>
      <c r="M169" s="11"/>
      <c r="N169" s="7"/>
      <c r="O169" s="7"/>
      <c r="P169" s="7"/>
      <c r="Q169" s="11"/>
      <c r="R169" s="7"/>
      <c r="S169" s="7"/>
      <c r="T169" s="7"/>
      <c r="U169" s="7"/>
      <c r="V169" s="7"/>
      <c r="W169" s="7"/>
      <c r="X169" s="7"/>
      <c r="Y169" s="11"/>
      <c r="Z169" s="7"/>
      <c r="AA169" s="10"/>
      <c r="AB169" s="10"/>
    </row>
    <row r="170" ht="12.0" customHeight="1">
      <c r="A170" s="7"/>
      <c r="B170" s="7"/>
      <c r="C170" s="7"/>
      <c r="D170" s="7"/>
      <c r="E170" s="11"/>
      <c r="F170" s="7"/>
      <c r="G170" s="7"/>
      <c r="H170" s="7"/>
      <c r="I170" s="11"/>
      <c r="J170" s="7"/>
      <c r="K170" s="7"/>
      <c r="L170" s="7"/>
      <c r="M170" s="11"/>
      <c r="N170" s="7"/>
      <c r="O170" s="7"/>
      <c r="P170" s="7"/>
      <c r="Q170" s="11"/>
      <c r="R170" s="7"/>
      <c r="S170" s="7"/>
      <c r="T170" s="7"/>
      <c r="U170" s="7"/>
      <c r="V170" s="7"/>
      <c r="W170" s="7"/>
      <c r="X170" s="7"/>
      <c r="Y170" s="11"/>
      <c r="Z170" s="7"/>
      <c r="AA170" s="10"/>
      <c r="AB170" s="10"/>
    </row>
    <row r="171" ht="12.0" customHeight="1">
      <c r="A171" s="7"/>
      <c r="B171" s="7"/>
      <c r="C171" s="7"/>
      <c r="D171" s="7"/>
      <c r="E171" s="11"/>
      <c r="F171" s="7"/>
      <c r="G171" s="7"/>
      <c r="H171" s="7"/>
      <c r="I171" s="11"/>
      <c r="J171" s="7"/>
      <c r="K171" s="7"/>
      <c r="L171" s="7"/>
      <c r="M171" s="11"/>
      <c r="N171" s="7"/>
      <c r="O171" s="7"/>
      <c r="P171" s="7"/>
      <c r="Q171" s="11"/>
      <c r="R171" s="7"/>
      <c r="S171" s="7"/>
      <c r="T171" s="7"/>
      <c r="U171" s="7"/>
      <c r="V171" s="7"/>
      <c r="W171" s="7"/>
      <c r="X171" s="7"/>
      <c r="Y171" s="11"/>
      <c r="Z171" s="7"/>
      <c r="AA171" s="10"/>
      <c r="AB171" s="10"/>
    </row>
    <row r="172" ht="12.0" customHeight="1">
      <c r="A172" s="7"/>
      <c r="B172" s="7"/>
      <c r="C172" s="7"/>
      <c r="D172" s="7"/>
      <c r="E172" s="11"/>
      <c r="F172" s="7"/>
      <c r="G172" s="7"/>
      <c r="H172" s="7"/>
      <c r="I172" s="11"/>
      <c r="J172" s="7"/>
      <c r="K172" s="7"/>
      <c r="L172" s="7"/>
      <c r="M172" s="11"/>
      <c r="N172" s="7"/>
      <c r="O172" s="7"/>
      <c r="P172" s="7"/>
      <c r="Q172" s="11"/>
      <c r="R172" s="7"/>
      <c r="S172" s="7"/>
      <c r="T172" s="7"/>
      <c r="U172" s="7"/>
      <c r="V172" s="7"/>
      <c r="W172" s="7"/>
      <c r="X172" s="7"/>
      <c r="Y172" s="11"/>
      <c r="Z172" s="7"/>
      <c r="AA172" s="10"/>
      <c r="AB172" s="10"/>
    </row>
    <row r="173" ht="12.0" customHeight="1">
      <c r="A173" s="7"/>
      <c r="B173" s="7"/>
      <c r="C173" s="7"/>
      <c r="D173" s="7"/>
      <c r="E173" s="11"/>
      <c r="F173" s="7"/>
      <c r="G173" s="7"/>
      <c r="H173" s="7"/>
      <c r="I173" s="11"/>
      <c r="J173" s="7"/>
      <c r="K173" s="7"/>
      <c r="L173" s="7"/>
      <c r="M173" s="11"/>
      <c r="N173" s="7"/>
      <c r="O173" s="7"/>
      <c r="P173" s="7"/>
      <c r="Q173" s="11"/>
      <c r="R173" s="7"/>
      <c r="S173" s="7"/>
      <c r="T173" s="7"/>
      <c r="U173" s="7"/>
      <c r="V173" s="7"/>
      <c r="W173" s="7"/>
      <c r="X173" s="7"/>
      <c r="Y173" s="11"/>
      <c r="Z173" s="7"/>
      <c r="AA173" s="10"/>
      <c r="AB173" s="10"/>
    </row>
    <row r="174" ht="12.0" customHeight="1">
      <c r="A174" s="7"/>
      <c r="B174" s="7"/>
      <c r="C174" s="7"/>
      <c r="D174" s="7"/>
      <c r="E174" s="11"/>
      <c r="F174" s="7"/>
      <c r="G174" s="7"/>
      <c r="H174" s="7"/>
      <c r="I174" s="11"/>
      <c r="J174" s="7"/>
      <c r="K174" s="7"/>
      <c r="L174" s="7"/>
      <c r="M174" s="11"/>
      <c r="N174" s="7"/>
      <c r="O174" s="7"/>
      <c r="P174" s="7"/>
      <c r="Q174" s="11"/>
      <c r="R174" s="7"/>
      <c r="S174" s="7"/>
      <c r="T174" s="7"/>
      <c r="U174" s="7"/>
      <c r="V174" s="7"/>
      <c r="W174" s="7"/>
      <c r="X174" s="7"/>
      <c r="Y174" s="11"/>
      <c r="Z174" s="7"/>
      <c r="AA174" s="10"/>
      <c r="AB174" s="10"/>
    </row>
    <row r="175" ht="12.0" customHeight="1">
      <c r="A175" s="7"/>
      <c r="B175" s="7"/>
      <c r="C175" s="7"/>
      <c r="D175" s="7"/>
      <c r="E175" s="11"/>
      <c r="F175" s="7"/>
      <c r="G175" s="7"/>
      <c r="H175" s="7"/>
      <c r="I175" s="11"/>
      <c r="J175" s="7"/>
      <c r="K175" s="7"/>
      <c r="L175" s="7"/>
      <c r="M175" s="11"/>
      <c r="N175" s="7"/>
      <c r="O175" s="7"/>
      <c r="P175" s="7"/>
      <c r="Q175" s="11"/>
      <c r="R175" s="7"/>
      <c r="S175" s="7"/>
      <c r="T175" s="7"/>
      <c r="U175" s="7"/>
      <c r="V175" s="7"/>
      <c r="W175" s="7"/>
      <c r="X175" s="7"/>
      <c r="Y175" s="11"/>
      <c r="Z175" s="7"/>
      <c r="AA175" s="10"/>
      <c r="AB175" s="10"/>
    </row>
    <row r="176" ht="12.0" customHeight="1">
      <c r="A176" s="7"/>
      <c r="B176" s="7"/>
      <c r="C176" s="7"/>
      <c r="D176" s="7"/>
      <c r="E176" s="11"/>
      <c r="F176" s="7"/>
      <c r="G176" s="7"/>
      <c r="H176" s="7"/>
      <c r="I176" s="11"/>
      <c r="J176" s="7"/>
      <c r="K176" s="7"/>
      <c r="L176" s="7"/>
      <c r="M176" s="11"/>
      <c r="N176" s="7"/>
      <c r="O176" s="7"/>
      <c r="P176" s="7"/>
      <c r="Q176" s="11"/>
      <c r="R176" s="7"/>
      <c r="S176" s="7"/>
      <c r="T176" s="7"/>
      <c r="U176" s="7"/>
      <c r="V176" s="7"/>
      <c r="W176" s="7"/>
      <c r="X176" s="7"/>
      <c r="Y176" s="11"/>
      <c r="Z176" s="7"/>
      <c r="AA176" s="10"/>
      <c r="AB176" s="10"/>
    </row>
    <row r="177" ht="12.0" customHeight="1">
      <c r="A177" s="7"/>
      <c r="B177" s="7"/>
      <c r="C177" s="7"/>
      <c r="D177" s="7"/>
      <c r="E177" s="11"/>
      <c r="F177" s="7"/>
      <c r="G177" s="7"/>
      <c r="H177" s="7"/>
      <c r="I177" s="11"/>
      <c r="J177" s="7"/>
      <c r="K177" s="7"/>
      <c r="L177" s="7"/>
      <c r="M177" s="11"/>
      <c r="N177" s="7"/>
      <c r="O177" s="7"/>
      <c r="P177" s="7"/>
      <c r="Q177" s="11"/>
      <c r="R177" s="7"/>
      <c r="S177" s="7"/>
      <c r="T177" s="7"/>
      <c r="U177" s="7"/>
      <c r="V177" s="7"/>
      <c r="W177" s="7"/>
      <c r="X177" s="7"/>
      <c r="Y177" s="11"/>
      <c r="Z177" s="7"/>
      <c r="AA177" s="10"/>
      <c r="AB177" s="10"/>
    </row>
    <row r="178" ht="12.0" customHeight="1">
      <c r="A178" s="7"/>
      <c r="B178" s="7"/>
      <c r="C178" s="7"/>
      <c r="D178" s="7"/>
      <c r="E178" s="11"/>
      <c r="F178" s="7"/>
      <c r="G178" s="7"/>
      <c r="H178" s="7"/>
      <c r="I178" s="11"/>
      <c r="J178" s="7"/>
      <c r="K178" s="7"/>
      <c r="L178" s="7"/>
      <c r="M178" s="11"/>
      <c r="N178" s="7"/>
      <c r="O178" s="7"/>
      <c r="P178" s="7"/>
      <c r="Q178" s="11"/>
      <c r="R178" s="7"/>
      <c r="S178" s="7"/>
      <c r="T178" s="7"/>
      <c r="U178" s="7"/>
      <c r="V178" s="7"/>
      <c r="W178" s="7"/>
      <c r="X178" s="7"/>
      <c r="Y178" s="11"/>
      <c r="Z178" s="7"/>
      <c r="AA178" s="10"/>
      <c r="AB178" s="10"/>
    </row>
    <row r="179" ht="12.0" customHeight="1">
      <c r="A179" s="7"/>
      <c r="B179" s="7"/>
      <c r="C179" s="7"/>
      <c r="D179" s="7"/>
      <c r="E179" s="11"/>
      <c r="F179" s="7"/>
      <c r="G179" s="7"/>
      <c r="H179" s="7"/>
      <c r="I179" s="11"/>
      <c r="J179" s="7"/>
      <c r="K179" s="7"/>
      <c r="L179" s="7"/>
      <c r="M179" s="11"/>
      <c r="N179" s="7"/>
      <c r="O179" s="7"/>
      <c r="P179" s="7"/>
      <c r="Q179" s="11"/>
      <c r="R179" s="7"/>
      <c r="S179" s="7"/>
      <c r="T179" s="7"/>
      <c r="U179" s="7"/>
      <c r="V179" s="7"/>
      <c r="W179" s="7"/>
      <c r="X179" s="7"/>
      <c r="Y179" s="11"/>
      <c r="Z179" s="7"/>
      <c r="AA179" s="10"/>
      <c r="AB179" s="10"/>
    </row>
    <row r="180" ht="12.0" customHeight="1">
      <c r="A180" s="7"/>
      <c r="B180" s="7"/>
      <c r="C180" s="7"/>
      <c r="D180" s="7"/>
      <c r="E180" s="11"/>
      <c r="F180" s="7"/>
      <c r="G180" s="7"/>
      <c r="H180" s="7"/>
      <c r="I180" s="11"/>
      <c r="J180" s="7"/>
      <c r="K180" s="7"/>
      <c r="L180" s="7"/>
      <c r="M180" s="11"/>
      <c r="N180" s="7"/>
      <c r="O180" s="7"/>
      <c r="P180" s="7"/>
      <c r="Q180" s="11"/>
      <c r="R180" s="7"/>
      <c r="S180" s="7"/>
      <c r="T180" s="7"/>
      <c r="U180" s="7"/>
      <c r="V180" s="7"/>
      <c r="W180" s="7"/>
      <c r="X180" s="7"/>
      <c r="Y180" s="11"/>
      <c r="Z180" s="7"/>
      <c r="AA180" s="10"/>
      <c r="AB180" s="10"/>
    </row>
    <row r="181" ht="12.0" customHeight="1">
      <c r="A181" s="7"/>
      <c r="B181" s="7"/>
      <c r="C181" s="7"/>
      <c r="D181" s="7"/>
      <c r="E181" s="11"/>
      <c r="F181" s="7"/>
      <c r="G181" s="7"/>
      <c r="H181" s="7"/>
      <c r="I181" s="11"/>
      <c r="J181" s="7"/>
      <c r="K181" s="7"/>
      <c r="L181" s="7"/>
      <c r="M181" s="11"/>
      <c r="N181" s="7"/>
      <c r="O181" s="7"/>
      <c r="P181" s="7"/>
      <c r="Q181" s="11"/>
      <c r="R181" s="7"/>
      <c r="S181" s="7"/>
      <c r="T181" s="7"/>
      <c r="U181" s="7"/>
      <c r="V181" s="7"/>
      <c r="W181" s="7"/>
      <c r="X181" s="7"/>
      <c r="Y181" s="11"/>
      <c r="Z181" s="7"/>
      <c r="AA181" s="10"/>
      <c r="AB181" s="10"/>
    </row>
    <row r="182" ht="12.0" customHeight="1">
      <c r="A182" s="7"/>
      <c r="B182" s="7"/>
      <c r="C182" s="7"/>
      <c r="D182" s="7"/>
      <c r="E182" s="11"/>
      <c r="F182" s="7"/>
      <c r="G182" s="7"/>
      <c r="H182" s="7"/>
      <c r="I182" s="11"/>
      <c r="J182" s="7"/>
      <c r="K182" s="7"/>
      <c r="L182" s="7"/>
      <c r="M182" s="11"/>
      <c r="N182" s="7"/>
      <c r="O182" s="7"/>
      <c r="P182" s="7"/>
      <c r="Q182" s="11"/>
      <c r="R182" s="7"/>
      <c r="S182" s="7"/>
      <c r="T182" s="7"/>
      <c r="U182" s="7"/>
      <c r="V182" s="7"/>
      <c r="W182" s="7"/>
      <c r="X182" s="7"/>
      <c r="Y182" s="11"/>
      <c r="Z182" s="7"/>
      <c r="AA182" s="10"/>
      <c r="AB182" s="10"/>
    </row>
    <row r="183" ht="12.0" customHeight="1">
      <c r="A183" s="7"/>
      <c r="B183" s="7"/>
      <c r="C183" s="7"/>
      <c r="D183" s="7"/>
      <c r="E183" s="11"/>
      <c r="F183" s="7"/>
      <c r="G183" s="7"/>
      <c r="H183" s="7"/>
      <c r="I183" s="11"/>
      <c r="J183" s="7"/>
      <c r="K183" s="7"/>
      <c r="L183" s="7"/>
      <c r="M183" s="11"/>
      <c r="N183" s="7"/>
      <c r="O183" s="7"/>
      <c r="P183" s="7"/>
      <c r="Q183" s="11"/>
      <c r="R183" s="7"/>
      <c r="S183" s="7"/>
      <c r="T183" s="7"/>
      <c r="U183" s="7"/>
      <c r="V183" s="7"/>
      <c r="W183" s="7"/>
      <c r="X183" s="7"/>
      <c r="Y183" s="11"/>
      <c r="Z183" s="7"/>
      <c r="AA183" s="10"/>
      <c r="AB183" s="10"/>
    </row>
    <row r="184" ht="12.0" customHeight="1">
      <c r="A184" s="7"/>
      <c r="B184" s="7"/>
      <c r="C184" s="7"/>
      <c r="D184" s="7"/>
      <c r="E184" s="11"/>
      <c r="F184" s="7"/>
      <c r="G184" s="7"/>
      <c r="H184" s="7"/>
      <c r="I184" s="11"/>
      <c r="J184" s="7"/>
      <c r="K184" s="7"/>
      <c r="L184" s="7"/>
      <c r="M184" s="11"/>
      <c r="N184" s="7"/>
      <c r="O184" s="7"/>
      <c r="P184" s="7"/>
      <c r="Q184" s="11"/>
      <c r="R184" s="7"/>
      <c r="S184" s="7"/>
      <c r="T184" s="7"/>
      <c r="U184" s="7"/>
      <c r="V184" s="7"/>
      <c r="W184" s="7"/>
      <c r="X184" s="7"/>
      <c r="Y184" s="11"/>
      <c r="Z184" s="7"/>
      <c r="AA184" s="10"/>
      <c r="AB184" s="10"/>
    </row>
    <row r="185" ht="12.0" customHeight="1">
      <c r="A185" s="7"/>
      <c r="B185" s="7"/>
      <c r="C185" s="7"/>
      <c r="D185" s="7"/>
      <c r="E185" s="11"/>
      <c r="F185" s="7"/>
      <c r="G185" s="7"/>
      <c r="H185" s="7"/>
      <c r="I185" s="11"/>
      <c r="J185" s="7"/>
      <c r="K185" s="7"/>
      <c r="L185" s="7"/>
      <c r="M185" s="11"/>
      <c r="N185" s="7"/>
      <c r="O185" s="7"/>
      <c r="P185" s="7"/>
      <c r="Q185" s="11"/>
      <c r="R185" s="7"/>
      <c r="S185" s="7"/>
      <c r="T185" s="7"/>
      <c r="U185" s="7"/>
      <c r="V185" s="7"/>
      <c r="W185" s="7"/>
      <c r="X185" s="7"/>
      <c r="Y185" s="11"/>
      <c r="Z185" s="7"/>
      <c r="AA185" s="10"/>
      <c r="AB185" s="10"/>
    </row>
    <row r="186" ht="12.0" customHeight="1">
      <c r="A186" s="7"/>
      <c r="B186" s="7"/>
      <c r="C186" s="7"/>
      <c r="D186" s="7"/>
      <c r="E186" s="11"/>
      <c r="F186" s="7"/>
      <c r="G186" s="7"/>
      <c r="H186" s="7"/>
      <c r="I186" s="11"/>
      <c r="J186" s="7"/>
      <c r="K186" s="7"/>
      <c r="L186" s="7"/>
      <c r="M186" s="11"/>
      <c r="N186" s="7"/>
      <c r="O186" s="7"/>
      <c r="P186" s="7"/>
      <c r="Q186" s="11"/>
      <c r="R186" s="7"/>
      <c r="S186" s="7"/>
      <c r="T186" s="7"/>
      <c r="U186" s="7"/>
      <c r="V186" s="7"/>
      <c r="W186" s="7"/>
      <c r="X186" s="7"/>
      <c r="Y186" s="11"/>
      <c r="Z186" s="7"/>
      <c r="AA186" s="10"/>
      <c r="AB186" s="10"/>
    </row>
    <row r="187" ht="12.0" customHeight="1">
      <c r="A187" s="7"/>
      <c r="B187" s="7"/>
      <c r="C187" s="7"/>
      <c r="D187" s="7"/>
      <c r="E187" s="11"/>
      <c r="F187" s="7"/>
      <c r="G187" s="7"/>
      <c r="H187" s="7"/>
      <c r="I187" s="11"/>
      <c r="J187" s="7"/>
      <c r="K187" s="7"/>
      <c r="L187" s="7"/>
      <c r="M187" s="11"/>
      <c r="N187" s="7"/>
      <c r="O187" s="7"/>
      <c r="P187" s="7"/>
      <c r="Q187" s="11"/>
      <c r="R187" s="7"/>
      <c r="S187" s="7"/>
      <c r="T187" s="7"/>
      <c r="U187" s="7"/>
      <c r="V187" s="7"/>
      <c r="W187" s="7"/>
      <c r="X187" s="7"/>
      <c r="Y187" s="11"/>
      <c r="Z187" s="7"/>
      <c r="AA187" s="10"/>
      <c r="AB187" s="10"/>
    </row>
    <row r="188" ht="12.0" customHeight="1">
      <c r="A188" s="7"/>
      <c r="B188" s="7"/>
      <c r="C188" s="7"/>
      <c r="D188" s="7"/>
      <c r="E188" s="11"/>
      <c r="F188" s="7"/>
      <c r="G188" s="7"/>
      <c r="H188" s="7"/>
      <c r="I188" s="11"/>
      <c r="J188" s="7"/>
      <c r="K188" s="7"/>
      <c r="L188" s="7"/>
      <c r="M188" s="11"/>
      <c r="N188" s="7"/>
      <c r="O188" s="7"/>
      <c r="P188" s="7"/>
      <c r="Q188" s="11"/>
      <c r="R188" s="7"/>
      <c r="S188" s="7"/>
      <c r="T188" s="7"/>
      <c r="U188" s="7"/>
      <c r="V188" s="7"/>
      <c r="W188" s="7"/>
      <c r="X188" s="7"/>
      <c r="Y188" s="11"/>
      <c r="Z188" s="7"/>
      <c r="AA188" s="10"/>
      <c r="AB188" s="10"/>
    </row>
    <row r="189" ht="12.0" customHeight="1">
      <c r="A189" s="7"/>
      <c r="B189" s="7"/>
      <c r="C189" s="7"/>
      <c r="D189" s="7"/>
      <c r="E189" s="11"/>
      <c r="F189" s="7"/>
      <c r="G189" s="7"/>
      <c r="H189" s="7"/>
      <c r="I189" s="11"/>
      <c r="J189" s="7"/>
      <c r="K189" s="7"/>
      <c r="L189" s="7"/>
      <c r="M189" s="11"/>
      <c r="N189" s="7"/>
      <c r="O189" s="7"/>
      <c r="P189" s="7"/>
      <c r="Q189" s="11"/>
      <c r="R189" s="7"/>
      <c r="S189" s="7"/>
      <c r="T189" s="7"/>
      <c r="U189" s="7"/>
      <c r="V189" s="7"/>
      <c r="W189" s="7"/>
      <c r="X189" s="7"/>
      <c r="Y189" s="11"/>
      <c r="Z189" s="7"/>
      <c r="AA189" s="10"/>
      <c r="AB189" s="10"/>
    </row>
    <row r="190" ht="12.0" customHeight="1">
      <c r="A190" s="7"/>
      <c r="B190" s="7"/>
      <c r="C190" s="7"/>
      <c r="D190" s="7"/>
      <c r="E190" s="11"/>
      <c r="F190" s="7"/>
      <c r="G190" s="7"/>
      <c r="H190" s="7"/>
      <c r="I190" s="11"/>
      <c r="J190" s="7"/>
      <c r="K190" s="7"/>
      <c r="L190" s="7"/>
      <c r="M190" s="11"/>
      <c r="N190" s="7"/>
      <c r="O190" s="7"/>
      <c r="P190" s="7"/>
      <c r="Q190" s="11"/>
      <c r="R190" s="7"/>
      <c r="S190" s="7"/>
      <c r="T190" s="7"/>
      <c r="U190" s="7"/>
      <c r="V190" s="7"/>
      <c r="W190" s="7"/>
      <c r="X190" s="7"/>
      <c r="Y190" s="11"/>
      <c r="Z190" s="7"/>
      <c r="AA190" s="10"/>
      <c r="AB190" s="10"/>
    </row>
    <row r="191" ht="12.0" customHeight="1">
      <c r="A191" s="7"/>
      <c r="B191" s="7"/>
      <c r="C191" s="7"/>
      <c r="D191" s="7"/>
      <c r="E191" s="11"/>
      <c r="F191" s="7"/>
      <c r="G191" s="7"/>
      <c r="H191" s="7"/>
      <c r="I191" s="11"/>
      <c r="J191" s="7"/>
      <c r="K191" s="7"/>
      <c r="L191" s="7"/>
      <c r="M191" s="11"/>
      <c r="N191" s="7"/>
      <c r="O191" s="7"/>
      <c r="P191" s="7"/>
      <c r="Q191" s="11"/>
      <c r="R191" s="7"/>
      <c r="S191" s="7"/>
      <c r="T191" s="7"/>
      <c r="U191" s="7"/>
      <c r="V191" s="7"/>
      <c r="W191" s="7"/>
      <c r="X191" s="7"/>
      <c r="Y191" s="11"/>
      <c r="Z191" s="7"/>
      <c r="AA191" s="10"/>
      <c r="AB191" s="10"/>
    </row>
    <row r="192" ht="12.0" customHeight="1">
      <c r="A192" s="7"/>
      <c r="B192" s="7"/>
      <c r="C192" s="7"/>
      <c r="D192" s="7"/>
      <c r="E192" s="11"/>
      <c r="F192" s="7"/>
      <c r="G192" s="7"/>
      <c r="H192" s="7"/>
      <c r="I192" s="11"/>
      <c r="J192" s="7"/>
      <c r="K192" s="7"/>
      <c r="L192" s="7"/>
      <c r="M192" s="11"/>
      <c r="N192" s="7"/>
      <c r="O192" s="7"/>
      <c r="P192" s="7"/>
      <c r="Q192" s="11"/>
      <c r="R192" s="7"/>
      <c r="S192" s="7"/>
      <c r="T192" s="7"/>
      <c r="U192" s="7"/>
      <c r="V192" s="7"/>
      <c r="W192" s="7"/>
      <c r="X192" s="7"/>
      <c r="Y192" s="11"/>
      <c r="Z192" s="7"/>
      <c r="AA192" s="10"/>
      <c r="AB192" s="10"/>
    </row>
    <row r="193" ht="12.0" customHeight="1">
      <c r="A193" s="7"/>
      <c r="B193" s="7"/>
      <c r="C193" s="7"/>
      <c r="D193" s="7"/>
      <c r="E193" s="11"/>
      <c r="F193" s="7"/>
      <c r="G193" s="7"/>
      <c r="H193" s="7"/>
      <c r="I193" s="11"/>
      <c r="J193" s="7"/>
      <c r="K193" s="7"/>
      <c r="L193" s="7"/>
      <c r="M193" s="11"/>
      <c r="N193" s="7"/>
      <c r="O193" s="7"/>
      <c r="P193" s="7"/>
      <c r="Q193" s="11"/>
      <c r="R193" s="7"/>
      <c r="S193" s="7"/>
      <c r="T193" s="7"/>
      <c r="U193" s="7"/>
      <c r="V193" s="7"/>
      <c r="W193" s="7"/>
      <c r="X193" s="7"/>
      <c r="Y193" s="11"/>
      <c r="Z193" s="7"/>
      <c r="AA193" s="10"/>
      <c r="AB193" s="10"/>
    </row>
    <row r="194" ht="12.0" customHeight="1">
      <c r="A194" s="7"/>
      <c r="B194" s="7"/>
      <c r="C194" s="7"/>
      <c r="D194" s="7"/>
      <c r="E194" s="11"/>
      <c r="F194" s="7"/>
      <c r="G194" s="7"/>
      <c r="H194" s="7"/>
      <c r="I194" s="11"/>
      <c r="J194" s="7"/>
      <c r="K194" s="7"/>
      <c r="L194" s="7"/>
      <c r="M194" s="11"/>
      <c r="N194" s="7"/>
      <c r="O194" s="7"/>
      <c r="P194" s="7"/>
      <c r="Q194" s="11"/>
      <c r="R194" s="7"/>
      <c r="S194" s="7"/>
      <c r="T194" s="7"/>
      <c r="U194" s="7"/>
      <c r="V194" s="7"/>
      <c r="W194" s="7"/>
      <c r="X194" s="7"/>
      <c r="Y194" s="11"/>
      <c r="Z194" s="7"/>
      <c r="AA194" s="10"/>
      <c r="AB194" s="10"/>
    </row>
    <row r="195" ht="12.0" customHeight="1">
      <c r="A195" s="7"/>
      <c r="B195" s="7"/>
      <c r="C195" s="7"/>
      <c r="D195" s="7"/>
      <c r="E195" s="11"/>
      <c r="F195" s="7"/>
      <c r="G195" s="7"/>
      <c r="H195" s="7"/>
      <c r="I195" s="11"/>
      <c r="J195" s="7"/>
      <c r="K195" s="7"/>
      <c r="L195" s="7"/>
      <c r="M195" s="11"/>
      <c r="N195" s="7"/>
      <c r="O195" s="7"/>
      <c r="P195" s="7"/>
      <c r="Q195" s="11"/>
      <c r="R195" s="7"/>
      <c r="S195" s="7"/>
      <c r="T195" s="7"/>
      <c r="U195" s="7"/>
      <c r="V195" s="7"/>
      <c r="W195" s="7"/>
      <c r="X195" s="7"/>
      <c r="Y195" s="11"/>
      <c r="Z195" s="7"/>
      <c r="AA195" s="10"/>
      <c r="AB195" s="10"/>
    </row>
    <row r="196" ht="12.0" customHeight="1">
      <c r="A196" s="7"/>
      <c r="B196" s="7"/>
      <c r="C196" s="7"/>
      <c r="D196" s="7"/>
      <c r="E196" s="11"/>
      <c r="F196" s="7"/>
      <c r="G196" s="7"/>
      <c r="H196" s="7"/>
      <c r="I196" s="11"/>
      <c r="J196" s="7"/>
      <c r="K196" s="7"/>
      <c r="L196" s="7"/>
      <c r="M196" s="11"/>
      <c r="N196" s="7"/>
      <c r="O196" s="7"/>
      <c r="P196" s="7"/>
      <c r="Q196" s="11"/>
      <c r="R196" s="7"/>
      <c r="S196" s="7"/>
      <c r="T196" s="7"/>
      <c r="U196" s="7"/>
      <c r="V196" s="7"/>
      <c r="W196" s="7"/>
      <c r="X196" s="7"/>
      <c r="Y196" s="11"/>
      <c r="Z196" s="7"/>
      <c r="AA196" s="10"/>
      <c r="AB196" s="10"/>
    </row>
    <row r="197" ht="12.0" customHeight="1">
      <c r="A197" s="7"/>
      <c r="B197" s="7"/>
      <c r="C197" s="7"/>
      <c r="D197" s="7"/>
      <c r="E197" s="11"/>
      <c r="F197" s="7"/>
      <c r="G197" s="7"/>
      <c r="H197" s="7"/>
      <c r="I197" s="11"/>
      <c r="J197" s="7"/>
      <c r="K197" s="7"/>
      <c r="L197" s="7"/>
      <c r="M197" s="11"/>
      <c r="N197" s="7"/>
      <c r="O197" s="7"/>
      <c r="P197" s="7"/>
      <c r="Q197" s="11"/>
      <c r="R197" s="7"/>
      <c r="S197" s="7"/>
      <c r="T197" s="7"/>
      <c r="U197" s="7"/>
      <c r="V197" s="7"/>
      <c r="W197" s="7"/>
      <c r="X197" s="7"/>
      <c r="Y197" s="11"/>
      <c r="Z197" s="7"/>
      <c r="AA197" s="10"/>
      <c r="AB197" s="10"/>
    </row>
    <row r="198" ht="12.0" customHeight="1">
      <c r="A198" s="7"/>
      <c r="B198" s="7"/>
      <c r="C198" s="7"/>
      <c r="D198" s="7"/>
      <c r="E198" s="11"/>
      <c r="F198" s="7"/>
      <c r="G198" s="7"/>
      <c r="H198" s="7"/>
      <c r="I198" s="11"/>
      <c r="J198" s="7"/>
      <c r="K198" s="7"/>
      <c r="L198" s="7"/>
      <c r="M198" s="11"/>
      <c r="N198" s="7"/>
      <c r="O198" s="7"/>
      <c r="P198" s="7"/>
      <c r="Q198" s="11"/>
      <c r="R198" s="7"/>
      <c r="S198" s="7"/>
      <c r="T198" s="7"/>
      <c r="U198" s="7"/>
      <c r="V198" s="7"/>
      <c r="W198" s="7"/>
      <c r="X198" s="7"/>
      <c r="Y198" s="11"/>
      <c r="Z198" s="7"/>
      <c r="AA198" s="10"/>
      <c r="AB198" s="10"/>
    </row>
    <row r="199" ht="12.0" customHeight="1">
      <c r="A199" s="7"/>
      <c r="B199" s="7"/>
      <c r="C199" s="7"/>
      <c r="D199" s="7"/>
      <c r="E199" s="11"/>
      <c r="F199" s="7"/>
      <c r="G199" s="7"/>
      <c r="H199" s="7"/>
      <c r="I199" s="11"/>
      <c r="J199" s="7"/>
      <c r="K199" s="7"/>
      <c r="L199" s="7"/>
      <c r="M199" s="11"/>
      <c r="N199" s="7"/>
      <c r="O199" s="7"/>
      <c r="P199" s="7"/>
      <c r="Q199" s="11"/>
      <c r="R199" s="7"/>
      <c r="S199" s="7"/>
      <c r="T199" s="7"/>
      <c r="U199" s="7"/>
      <c r="V199" s="7"/>
      <c r="W199" s="7"/>
      <c r="X199" s="7"/>
      <c r="Y199" s="11"/>
      <c r="Z199" s="7"/>
      <c r="AA199" s="10"/>
      <c r="AB199" s="10"/>
    </row>
    <row r="200" ht="12.0" customHeight="1">
      <c r="A200" s="7"/>
      <c r="B200" s="7"/>
      <c r="C200" s="7"/>
      <c r="D200" s="7"/>
      <c r="E200" s="11"/>
      <c r="F200" s="7"/>
      <c r="G200" s="7"/>
      <c r="H200" s="7"/>
      <c r="I200" s="11"/>
      <c r="J200" s="7"/>
      <c r="K200" s="7"/>
      <c r="L200" s="7"/>
      <c r="M200" s="11"/>
      <c r="N200" s="7"/>
      <c r="O200" s="7"/>
      <c r="P200" s="7"/>
      <c r="Q200" s="11"/>
      <c r="R200" s="7"/>
      <c r="S200" s="7"/>
      <c r="T200" s="7"/>
      <c r="U200" s="7"/>
      <c r="V200" s="7"/>
      <c r="W200" s="7"/>
      <c r="X200" s="7"/>
      <c r="Y200" s="11"/>
      <c r="Z200" s="7"/>
      <c r="AA200" s="10"/>
      <c r="AB200" s="10"/>
    </row>
    <row r="201" ht="12.0" customHeight="1">
      <c r="A201" s="7"/>
      <c r="B201" s="7"/>
      <c r="C201" s="7"/>
      <c r="D201" s="7"/>
      <c r="E201" s="11"/>
      <c r="F201" s="7"/>
      <c r="G201" s="7"/>
      <c r="H201" s="7"/>
      <c r="I201" s="11"/>
      <c r="J201" s="7"/>
      <c r="K201" s="7"/>
      <c r="L201" s="7"/>
      <c r="M201" s="11"/>
      <c r="N201" s="7"/>
      <c r="O201" s="7"/>
      <c r="P201" s="7"/>
      <c r="Q201" s="11"/>
      <c r="R201" s="7"/>
      <c r="S201" s="7"/>
      <c r="T201" s="7"/>
      <c r="U201" s="7"/>
      <c r="V201" s="7"/>
      <c r="W201" s="7"/>
      <c r="X201" s="7"/>
      <c r="Y201" s="11"/>
      <c r="Z201" s="7"/>
      <c r="AA201" s="10"/>
      <c r="AB201" s="10"/>
    </row>
    <row r="202" ht="12.0" customHeight="1">
      <c r="A202" s="7"/>
      <c r="B202" s="7"/>
      <c r="C202" s="7"/>
      <c r="D202" s="7"/>
      <c r="E202" s="11"/>
      <c r="F202" s="7"/>
      <c r="G202" s="7"/>
      <c r="H202" s="7"/>
      <c r="I202" s="11"/>
      <c r="J202" s="7"/>
      <c r="K202" s="7"/>
      <c r="L202" s="7"/>
      <c r="M202" s="11"/>
      <c r="N202" s="7"/>
      <c r="O202" s="7"/>
      <c r="P202" s="7"/>
      <c r="Q202" s="11"/>
      <c r="R202" s="7"/>
      <c r="S202" s="7"/>
      <c r="T202" s="7"/>
      <c r="U202" s="7"/>
      <c r="V202" s="7"/>
      <c r="W202" s="7"/>
      <c r="X202" s="7"/>
      <c r="Y202" s="11"/>
      <c r="Z202" s="7"/>
      <c r="AA202" s="10"/>
      <c r="AB202" s="10"/>
    </row>
    <row r="203" ht="12.0" customHeight="1">
      <c r="A203" s="7"/>
      <c r="B203" s="7"/>
      <c r="C203" s="7"/>
      <c r="D203" s="7"/>
      <c r="E203" s="11"/>
      <c r="F203" s="7"/>
      <c r="G203" s="7"/>
      <c r="H203" s="7"/>
      <c r="I203" s="11"/>
      <c r="J203" s="7"/>
      <c r="K203" s="7"/>
      <c r="L203" s="7"/>
      <c r="M203" s="11"/>
      <c r="N203" s="7"/>
      <c r="O203" s="7"/>
      <c r="P203" s="7"/>
      <c r="Q203" s="11"/>
      <c r="R203" s="7"/>
      <c r="S203" s="7"/>
      <c r="T203" s="7"/>
      <c r="U203" s="7"/>
      <c r="V203" s="7"/>
      <c r="W203" s="7"/>
      <c r="X203" s="7"/>
      <c r="Y203" s="11"/>
      <c r="Z203" s="7"/>
      <c r="AA203" s="10"/>
      <c r="AB203" s="10"/>
    </row>
    <row r="204" ht="12.0" customHeight="1">
      <c r="A204" s="7"/>
      <c r="B204" s="7"/>
      <c r="C204" s="7"/>
      <c r="D204" s="7"/>
      <c r="E204" s="11"/>
      <c r="F204" s="7"/>
      <c r="G204" s="7"/>
      <c r="H204" s="7"/>
      <c r="I204" s="11"/>
      <c r="J204" s="7"/>
      <c r="K204" s="7"/>
      <c r="L204" s="7"/>
      <c r="M204" s="11"/>
      <c r="N204" s="7"/>
      <c r="O204" s="7"/>
      <c r="P204" s="7"/>
      <c r="Q204" s="11"/>
      <c r="R204" s="7"/>
      <c r="S204" s="7"/>
      <c r="T204" s="7"/>
      <c r="U204" s="7"/>
      <c r="V204" s="7"/>
      <c r="W204" s="7"/>
      <c r="X204" s="7"/>
      <c r="Y204" s="11"/>
      <c r="Z204" s="7"/>
      <c r="AA204" s="10"/>
      <c r="AB204" s="10"/>
    </row>
    <row r="205" ht="12.0" customHeight="1">
      <c r="A205" s="7"/>
      <c r="B205" s="7"/>
      <c r="C205" s="7"/>
      <c r="D205" s="7"/>
      <c r="E205" s="11"/>
      <c r="F205" s="7"/>
      <c r="G205" s="7"/>
      <c r="H205" s="7"/>
      <c r="I205" s="11"/>
      <c r="J205" s="7"/>
      <c r="K205" s="7"/>
      <c r="L205" s="7"/>
      <c r="M205" s="11"/>
      <c r="N205" s="7"/>
      <c r="O205" s="7"/>
      <c r="P205" s="7"/>
      <c r="Q205" s="11"/>
      <c r="R205" s="7"/>
      <c r="S205" s="7"/>
      <c r="T205" s="7"/>
      <c r="U205" s="7"/>
      <c r="V205" s="7"/>
      <c r="W205" s="7"/>
      <c r="X205" s="7"/>
      <c r="Y205" s="11"/>
      <c r="Z205" s="7"/>
      <c r="AA205" s="10"/>
      <c r="AB205" s="10"/>
    </row>
    <row r="206" ht="12.0" customHeight="1">
      <c r="A206" s="7"/>
      <c r="B206" s="7"/>
      <c r="C206" s="7"/>
      <c r="D206" s="7"/>
      <c r="E206" s="11"/>
      <c r="F206" s="7"/>
      <c r="G206" s="7"/>
      <c r="H206" s="7"/>
      <c r="I206" s="11"/>
      <c r="J206" s="7"/>
      <c r="K206" s="7"/>
      <c r="L206" s="7"/>
      <c r="M206" s="11"/>
      <c r="N206" s="7"/>
      <c r="O206" s="7"/>
      <c r="P206" s="7"/>
      <c r="Q206" s="11"/>
      <c r="R206" s="7"/>
      <c r="S206" s="7"/>
      <c r="T206" s="7"/>
      <c r="U206" s="7"/>
      <c r="V206" s="7"/>
      <c r="W206" s="7"/>
      <c r="X206" s="7"/>
      <c r="Y206" s="11"/>
      <c r="Z206" s="7"/>
      <c r="AA206" s="10"/>
      <c r="AB206" s="10"/>
    </row>
    <row r="207" ht="12.0" customHeight="1">
      <c r="A207" s="7"/>
      <c r="B207" s="7"/>
      <c r="C207" s="7"/>
      <c r="D207" s="7"/>
      <c r="E207" s="11"/>
      <c r="F207" s="7"/>
      <c r="G207" s="7"/>
      <c r="H207" s="7"/>
      <c r="I207" s="11"/>
      <c r="J207" s="7"/>
      <c r="K207" s="7"/>
      <c r="L207" s="7"/>
      <c r="M207" s="11"/>
      <c r="N207" s="7"/>
      <c r="O207" s="7"/>
      <c r="P207" s="7"/>
      <c r="Q207" s="11"/>
      <c r="R207" s="7"/>
      <c r="S207" s="7"/>
      <c r="T207" s="7"/>
      <c r="U207" s="7"/>
      <c r="V207" s="7"/>
      <c r="W207" s="7"/>
      <c r="X207" s="7"/>
      <c r="Y207" s="11"/>
      <c r="Z207" s="7"/>
      <c r="AA207" s="10"/>
      <c r="AB207" s="10"/>
    </row>
    <row r="208" ht="12.0" customHeight="1">
      <c r="A208" s="7"/>
      <c r="B208" s="7"/>
      <c r="C208" s="7"/>
      <c r="D208" s="7"/>
      <c r="E208" s="11"/>
      <c r="F208" s="7"/>
      <c r="G208" s="7"/>
      <c r="H208" s="7"/>
      <c r="I208" s="11"/>
      <c r="J208" s="7"/>
      <c r="K208" s="7"/>
      <c r="L208" s="7"/>
      <c r="M208" s="11"/>
      <c r="N208" s="7"/>
      <c r="O208" s="7"/>
      <c r="P208" s="7"/>
      <c r="Q208" s="11"/>
      <c r="R208" s="7"/>
      <c r="S208" s="7"/>
      <c r="T208" s="7"/>
      <c r="U208" s="7"/>
      <c r="V208" s="7"/>
      <c r="W208" s="7"/>
      <c r="X208" s="7"/>
      <c r="Y208" s="11"/>
      <c r="Z208" s="7"/>
      <c r="AA208" s="10"/>
      <c r="AB208" s="10"/>
    </row>
    <row r="209" ht="12.0" customHeight="1">
      <c r="A209" s="7"/>
      <c r="B209" s="7"/>
      <c r="C209" s="7"/>
      <c r="D209" s="7"/>
      <c r="E209" s="11"/>
      <c r="F209" s="7"/>
      <c r="G209" s="7"/>
      <c r="H209" s="7"/>
      <c r="I209" s="11"/>
      <c r="J209" s="7"/>
      <c r="K209" s="7"/>
      <c r="L209" s="7"/>
      <c r="M209" s="11"/>
      <c r="N209" s="7"/>
      <c r="O209" s="7"/>
      <c r="P209" s="7"/>
      <c r="Q209" s="11"/>
      <c r="R209" s="7"/>
      <c r="S209" s="7"/>
      <c r="T209" s="7"/>
      <c r="U209" s="7"/>
      <c r="V209" s="7"/>
      <c r="W209" s="7"/>
      <c r="X209" s="7"/>
      <c r="Y209" s="11"/>
      <c r="Z209" s="7"/>
      <c r="AA209" s="10"/>
      <c r="AB209" s="10"/>
    </row>
    <row r="210" ht="12.0" customHeight="1">
      <c r="A210" s="7"/>
      <c r="B210" s="7"/>
      <c r="C210" s="7"/>
      <c r="D210" s="7"/>
      <c r="E210" s="11"/>
      <c r="F210" s="7"/>
      <c r="G210" s="7"/>
      <c r="H210" s="7"/>
      <c r="I210" s="11"/>
      <c r="J210" s="7"/>
      <c r="K210" s="7"/>
      <c r="L210" s="7"/>
      <c r="M210" s="11"/>
      <c r="N210" s="7"/>
      <c r="O210" s="7"/>
      <c r="P210" s="7"/>
      <c r="Q210" s="11"/>
      <c r="R210" s="7"/>
      <c r="S210" s="7"/>
      <c r="T210" s="7"/>
      <c r="U210" s="7"/>
      <c r="V210" s="7"/>
      <c r="W210" s="7"/>
      <c r="X210" s="7"/>
      <c r="Y210" s="11"/>
      <c r="Z210" s="7"/>
      <c r="AA210" s="10"/>
      <c r="AB210" s="10"/>
    </row>
    <row r="211" ht="12.0" customHeight="1">
      <c r="A211" s="7"/>
      <c r="B211" s="7"/>
      <c r="C211" s="7"/>
      <c r="D211" s="7"/>
      <c r="E211" s="11"/>
      <c r="F211" s="7"/>
      <c r="G211" s="7"/>
      <c r="H211" s="7"/>
      <c r="I211" s="11"/>
      <c r="J211" s="7"/>
      <c r="K211" s="7"/>
      <c r="L211" s="7"/>
      <c r="M211" s="11"/>
      <c r="N211" s="7"/>
      <c r="O211" s="7"/>
      <c r="P211" s="7"/>
      <c r="Q211" s="11"/>
      <c r="R211" s="7"/>
      <c r="S211" s="7"/>
      <c r="T211" s="7"/>
      <c r="U211" s="7"/>
      <c r="V211" s="7"/>
      <c r="W211" s="7"/>
      <c r="X211" s="7"/>
      <c r="Y211" s="11"/>
      <c r="Z211" s="7"/>
      <c r="AA211" s="10"/>
      <c r="AB211" s="10"/>
    </row>
    <row r="212" ht="12.0" customHeight="1">
      <c r="A212" s="7"/>
      <c r="B212" s="7"/>
      <c r="C212" s="7"/>
      <c r="D212" s="7"/>
      <c r="E212" s="11"/>
      <c r="F212" s="7"/>
      <c r="G212" s="7"/>
      <c r="H212" s="7"/>
      <c r="I212" s="11"/>
      <c r="J212" s="7"/>
      <c r="K212" s="7"/>
      <c r="L212" s="7"/>
      <c r="M212" s="11"/>
      <c r="N212" s="7"/>
      <c r="O212" s="7"/>
      <c r="P212" s="7"/>
      <c r="Q212" s="11"/>
      <c r="R212" s="7"/>
      <c r="S212" s="7"/>
      <c r="T212" s="7"/>
      <c r="U212" s="7"/>
      <c r="V212" s="7"/>
      <c r="W212" s="7"/>
      <c r="X212" s="7"/>
      <c r="Y212" s="11"/>
      <c r="Z212" s="7"/>
      <c r="AA212" s="10"/>
      <c r="AB212" s="10"/>
    </row>
    <row r="213" ht="12.0" customHeight="1">
      <c r="A213" s="7"/>
      <c r="B213" s="7"/>
      <c r="C213" s="7"/>
      <c r="D213" s="7"/>
      <c r="E213" s="11"/>
      <c r="F213" s="7"/>
      <c r="G213" s="7"/>
      <c r="H213" s="7"/>
      <c r="I213" s="11"/>
      <c r="J213" s="7"/>
      <c r="K213" s="7"/>
      <c r="L213" s="7"/>
      <c r="M213" s="11"/>
      <c r="N213" s="7"/>
      <c r="O213" s="7"/>
      <c r="P213" s="7"/>
      <c r="Q213" s="11"/>
      <c r="R213" s="7"/>
      <c r="S213" s="7"/>
      <c r="T213" s="7"/>
      <c r="U213" s="7"/>
      <c r="V213" s="7"/>
      <c r="W213" s="7"/>
      <c r="X213" s="7"/>
      <c r="Y213" s="11"/>
      <c r="Z213" s="7"/>
      <c r="AA213" s="10"/>
      <c r="AB213" s="10"/>
    </row>
    <row r="214" ht="12.0" customHeight="1">
      <c r="A214" s="7"/>
      <c r="B214" s="7"/>
      <c r="C214" s="7"/>
      <c r="D214" s="7"/>
      <c r="E214" s="11"/>
      <c r="F214" s="7"/>
      <c r="G214" s="7"/>
      <c r="H214" s="7"/>
      <c r="I214" s="11"/>
      <c r="J214" s="7"/>
      <c r="K214" s="7"/>
      <c r="L214" s="7"/>
      <c r="M214" s="11"/>
      <c r="N214" s="7"/>
      <c r="O214" s="7"/>
      <c r="P214" s="7"/>
      <c r="Q214" s="11"/>
      <c r="R214" s="7"/>
      <c r="S214" s="7"/>
      <c r="T214" s="7"/>
      <c r="U214" s="7"/>
      <c r="V214" s="7"/>
      <c r="W214" s="7"/>
      <c r="X214" s="7"/>
      <c r="Y214" s="11"/>
      <c r="Z214" s="7"/>
      <c r="AA214" s="10"/>
      <c r="AB214" s="10"/>
    </row>
    <row r="215" ht="12.0" customHeight="1">
      <c r="A215" s="7"/>
      <c r="B215" s="7"/>
      <c r="C215" s="7"/>
      <c r="D215" s="7"/>
      <c r="E215" s="11"/>
      <c r="F215" s="7"/>
      <c r="G215" s="7"/>
      <c r="H215" s="7"/>
      <c r="I215" s="11"/>
      <c r="J215" s="7"/>
      <c r="K215" s="7"/>
      <c r="L215" s="7"/>
      <c r="M215" s="11"/>
      <c r="N215" s="7"/>
      <c r="O215" s="7"/>
      <c r="P215" s="7"/>
      <c r="Q215" s="11"/>
      <c r="R215" s="7"/>
      <c r="S215" s="7"/>
      <c r="T215" s="7"/>
      <c r="U215" s="7"/>
      <c r="V215" s="7"/>
      <c r="W215" s="7"/>
      <c r="X215" s="7"/>
      <c r="Y215" s="11"/>
      <c r="Z215" s="7"/>
      <c r="AA215" s="10"/>
      <c r="AB215" s="10"/>
    </row>
    <row r="216" ht="12.0" customHeight="1">
      <c r="A216" s="7"/>
      <c r="B216" s="7"/>
      <c r="C216" s="7"/>
      <c r="D216" s="7"/>
      <c r="E216" s="11"/>
      <c r="F216" s="7"/>
      <c r="G216" s="7"/>
      <c r="H216" s="7"/>
      <c r="I216" s="11"/>
      <c r="J216" s="7"/>
      <c r="K216" s="7"/>
      <c r="L216" s="7"/>
      <c r="M216" s="11"/>
      <c r="N216" s="7"/>
      <c r="O216" s="7"/>
      <c r="P216" s="7"/>
      <c r="Q216" s="11"/>
      <c r="R216" s="7"/>
      <c r="S216" s="7"/>
      <c r="T216" s="7"/>
      <c r="U216" s="7"/>
      <c r="V216" s="7"/>
      <c r="W216" s="7"/>
      <c r="X216" s="7"/>
      <c r="Y216" s="11"/>
      <c r="Z216" s="7"/>
      <c r="AA216" s="10"/>
      <c r="AB216" s="10"/>
    </row>
    <row r="217" ht="12.0" customHeight="1">
      <c r="A217" s="7"/>
      <c r="B217" s="7"/>
      <c r="C217" s="7"/>
      <c r="D217" s="7"/>
      <c r="E217" s="11"/>
      <c r="F217" s="7"/>
      <c r="G217" s="7"/>
      <c r="H217" s="7"/>
      <c r="I217" s="11"/>
      <c r="J217" s="7"/>
      <c r="K217" s="7"/>
      <c r="L217" s="7"/>
      <c r="M217" s="11"/>
      <c r="N217" s="7"/>
      <c r="O217" s="7"/>
      <c r="P217" s="7"/>
      <c r="Q217" s="11"/>
      <c r="R217" s="7"/>
      <c r="S217" s="7"/>
      <c r="T217" s="7"/>
      <c r="U217" s="7"/>
      <c r="V217" s="7"/>
      <c r="W217" s="7"/>
      <c r="X217" s="7"/>
      <c r="Y217" s="11"/>
      <c r="Z217" s="7"/>
      <c r="AA217" s="10"/>
      <c r="AB217" s="10"/>
    </row>
    <row r="218" ht="12.0" customHeight="1">
      <c r="A218" s="7"/>
      <c r="B218" s="7"/>
      <c r="C218" s="7"/>
      <c r="D218" s="7"/>
      <c r="E218" s="11"/>
      <c r="F218" s="7"/>
      <c r="G218" s="7"/>
      <c r="H218" s="7"/>
      <c r="I218" s="11"/>
      <c r="J218" s="7"/>
      <c r="K218" s="7"/>
      <c r="L218" s="7"/>
      <c r="M218" s="11"/>
      <c r="N218" s="7"/>
      <c r="O218" s="7"/>
      <c r="P218" s="7"/>
      <c r="Q218" s="11"/>
      <c r="R218" s="7"/>
      <c r="S218" s="7"/>
      <c r="T218" s="7"/>
      <c r="U218" s="7"/>
      <c r="V218" s="7"/>
      <c r="W218" s="7"/>
      <c r="X218" s="7"/>
      <c r="Y218" s="11"/>
      <c r="Z218" s="7"/>
      <c r="AA218" s="10"/>
      <c r="AB218" s="10"/>
    </row>
    <row r="219" ht="12.0" customHeight="1">
      <c r="A219" s="7"/>
      <c r="B219" s="7"/>
      <c r="C219" s="7"/>
      <c r="D219" s="7"/>
      <c r="E219" s="11"/>
      <c r="F219" s="7"/>
      <c r="G219" s="7"/>
      <c r="H219" s="7"/>
      <c r="I219" s="11"/>
      <c r="J219" s="7"/>
      <c r="K219" s="7"/>
      <c r="L219" s="7"/>
      <c r="M219" s="11"/>
      <c r="N219" s="7"/>
      <c r="O219" s="7"/>
      <c r="P219" s="7"/>
      <c r="Q219" s="11"/>
      <c r="R219" s="7"/>
      <c r="S219" s="7"/>
      <c r="T219" s="7"/>
      <c r="U219" s="7"/>
      <c r="V219" s="7"/>
      <c r="W219" s="7"/>
      <c r="X219" s="7"/>
      <c r="Y219" s="11"/>
      <c r="Z219" s="7"/>
      <c r="AA219" s="10"/>
      <c r="AB219" s="10"/>
    </row>
    <row r="220" ht="12.0" customHeight="1">
      <c r="A220" s="7"/>
      <c r="B220" s="7"/>
      <c r="C220" s="7"/>
      <c r="D220" s="7"/>
      <c r="E220" s="11"/>
      <c r="F220" s="7"/>
      <c r="G220" s="7"/>
      <c r="H220" s="7"/>
      <c r="I220" s="11"/>
      <c r="J220" s="7"/>
      <c r="K220" s="7"/>
      <c r="L220" s="7"/>
      <c r="M220" s="11"/>
      <c r="N220" s="7"/>
      <c r="O220" s="7"/>
      <c r="P220" s="7"/>
      <c r="Q220" s="11"/>
      <c r="R220" s="7"/>
      <c r="S220" s="7"/>
      <c r="T220" s="7"/>
      <c r="U220" s="7"/>
      <c r="V220" s="7"/>
      <c r="W220" s="7"/>
      <c r="X220" s="7"/>
      <c r="Y220" s="11"/>
      <c r="Z220" s="7"/>
      <c r="AA220" s="10"/>
      <c r="AB220" s="10"/>
    </row>
    <row r="221" ht="12.0" customHeight="1">
      <c r="A221" s="7"/>
      <c r="B221" s="7"/>
      <c r="C221" s="7"/>
      <c r="D221" s="7"/>
      <c r="E221" s="11"/>
      <c r="F221" s="7"/>
      <c r="G221" s="7"/>
      <c r="H221" s="7"/>
      <c r="I221" s="11"/>
      <c r="J221" s="7"/>
      <c r="K221" s="7"/>
      <c r="L221" s="7"/>
      <c r="M221" s="11"/>
      <c r="N221" s="7"/>
      <c r="O221" s="7"/>
      <c r="P221" s="7"/>
      <c r="Q221" s="11"/>
      <c r="R221" s="7"/>
      <c r="S221" s="7"/>
      <c r="T221" s="7"/>
      <c r="U221" s="7"/>
      <c r="V221" s="7"/>
      <c r="W221" s="7"/>
      <c r="X221" s="7"/>
      <c r="Y221" s="11"/>
      <c r="Z221" s="7"/>
      <c r="AA221" s="10"/>
      <c r="AB221" s="10"/>
    </row>
    <row r="222" ht="12.0" customHeight="1">
      <c r="A222" s="7"/>
      <c r="B222" s="7"/>
      <c r="C222" s="7"/>
      <c r="D222" s="7"/>
      <c r="E222" s="11"/>
      <c r="F222" s="7"/>
      <c r="G222" s="7"/>
      <c r="H222" s="7"/>
      <c r="I222" s="11"/>
      <c r="J222" s="7"/>
      <c r="K222" s="7"/>
      <c r="L222" s="7"/>
      <c r="M222" s="11"/>
      <c r="N222" s="7"/>
      <c r="O222" s="7"/>
      <c r="P222" s="7"/>
      <c r="Q222" s="11"/>
      <c r="R222" s="7"/>
      <c r="S222" s="7"/>
      <c r="T222" s="7"/>
      <c r="U222" s="7"/>
      <c r="V222" s="7"/>
      <c r="W222" s="7"/>
      <c r="X222" s="7"/>
      <c r="Y222" s="11"/>
      <c r="Z222" s="7"/>
      <c r="AA222" s="10"/>
      <c r="AB222" s="10"/>
    </row>
    <row r="223" ht="12.0" customHeight="1">
      <c r="A223" s="7"/>
      <c r="B223" s="7"/>
      <c r="C223" s="7"/>
      <c r="D223" s="7"/>
      <c r="E223" s="11"/>
      <c r="F223" s="7"/>
      <c r="G223" s="7"/>
      <c r="H223" s="7"/>
      <c r="I223" s="11"/>
      <c r="J223" s="7"/>
      <c r="K223" s="7"/>
      <c r="L223" s="7"/>
      <c r="M223" s="11"/>
      <c r="N223" s="7"/>
      <c r="O223" s="7"/>
      <c r="P223" s="7"/>
      <c r="Q223" s="11"/>
      <c r="R223" s="7"/>
      <c r="S223" s="7"/>
      <c r="T223" s="7"/>
      <c r="U223" s="7"/>
      <c r="V223" s="7"/>
      <c r="W223" s="7"/>
      <c r="X223" s="7"/>
      <c r="Y223" s="11"/>
      <c r="Z223" s="7"/>
      <c r="AA223" s="10"/>
      <c r="AB223" s="10"/>
    </row>
    <row r="224" ht="12.0" customHeight="1">
      <c r="A224" s="7"/>
      <c r="B224" s="7"/>
      <c r="C224" s="7"/>
      <c r="D224" s="7"/>
      <c r="E224" s="11"/>
      <c r="F224" s="7"/>
      <c r="G224" s="7"/>
      <c r="H224" s="7"/>
      <c r="I224" s="11"/>
      <c r="J224" s="7"/>
      <c r="K224" s="7"/>
      <c r="L224" s="7"/>
      <c r="M224" s="11"/>
      <c r="N224" s="7"/>
      <c r="O224" s="7"/>
      <c r="P224" s="7"/>
      <c r="Q224" s="11"/>
      <c r="R224" s="7"/>
      <c r="S224" s="7"/>
      <c r="T224" s="7"/>
      <c r="U224" s="7"/>
      <c r="V224" s="7"/>
      <c r="W224" s="7"/>
      <c r="X224" s="7"/>
      <c r="Y224" s="11"/>
      <c r="Z224" s="7"/>
      <c r="AA224" s="10"/>
      <c r="AB224" s="10"/>
    </row>
    <row r="225" ht="12.0" customHeight="1">
      <c r="A225" s="7"/>
      <c r="B225" s="7"/>
      <c r="C225" s="7"/>
      <c r="D225" s="7"/>
      <c r="E225" s="11"/>
      <c r="F225" s="7"/>
      <c r="G225" s="7"/>
      <c r="H225" s="7"/>
      <c r="I225" s="11"/>
      <c r="J225" s="7"/>
      <c r="K225" s="7"/>
      <c r="L225" s="7"/>
      <c r="M225" s="11"/>
      <c r="N225" s="7"/>
      <c r="O225" s="7"/>
      <c r="P225" s="7"/>
      <c r="Q225" s="11"/>
      <c r="R225" s="7"/>
      <c r="S225" s="7"/>
      <c r="T225" s="7"/>
      <c r="U225" s="7"/>
      <c r="V225" s="7"/>
      <c r="W225" s="7"/>
      <c r="X225" s="7"/>
      <c r="Y225" s="11"/>
      <c r="Z225" s="7"/>
      <c r="AA225" s="10"/>
      <c r="AB225" s="10"/>
    </row>
    <row r="226" ht="12.0" customHeight="1">
      <c r="A226" s="7"/>
      <c r="B226" s="7"/>
      <c r="C226" s="7"/>
      <c r="D226" s="7"/>
      <c r="E226" s="11"/>
      <c r="F226" s="7"/>
      <c r="G226" s="7"/>
      <c r="H226" s="7"/>
      <c r="I226" s="11"/>
      <c r="J226" s="7"/>
      <c r="K226" s="7"/>
      <c r="L226" s="7"/>
      <c r="M226" s="11"/>
      <c r="N226" s="7"/>
      <c r="O226" s="7"/>
      <c r="P226" s="7"/>
      <c r="Q226" s="11"/>
      <c r="R226" s="7"/>
      <c r="S226" s="7"/>
      <c r="T226" s="7"/>
      <c r="U226" s="7"/>
      <c r="V226" s="7"/>
      <c r="W226" s="7"/>
      <c r="X226" s="7"/>
      <c r="Y226" s="11"/>
      <c r="Z226" s="7"/>
      <c r="AA226" s="10"/>
      <c r="AB226" s="10"/>
    </row>
    <row r="227" ht="12.0" customHeight="1">
      <c r="A227" s="7"/>
      <c r="B227" s="7"/>
      <c r="C227" s="7"/>
      <c r="D227" s="7"/>
      <c r="E227" s="11"/>
      <c r="F227" s="7"/>
      <c r="G227" s="7"/>
      <c r="H227" s="7"/>
      <c r="I227" s="11"/>
      <c r="J227" s="7"/>
      <c r="K227" s="7"/>
      <c r="L227" s="7"/>
      <c r="M227" s="11"/>
      <c r="N227" s="7"/>
      <c r="O227" s="7"/>
      <c r="P227" s="7"/>
      <c r="Q227" s="11"/>
      <c r="R227" s="7"/>
      <c r="S227" s="7"/>
      <c r="T227" s="7"/>
      <c r="U227" s="7"/>
      <c r="V227" s="7"/>
      <c r="W227" s="7"/>
      <c r="X227" s="7"/>
      <c r="Y227" s="11"/>
      <c r="Z227" s="7"/>
      <c r="AA227" s="10"/>
      <c r="AB227" s="10"/>
    </row>
    <row r="228" ht="12.0" customHeight="1">
      <c r="A228" s="7"/>
      <c r="B228" s="7"/>
      <c r="C228" s="7"/>
      <c r="D228" s="7"/>
      <c r="E228" s="11"/>
      <c r="F228" s="7"/>
      <c r="G228" s="7"/>
      <c r="H228" s="7"/>
      <c r="I228" s="11"/>
      <c r="J228" s="7"/>
      <c r="K228" s="7"/>
      <c r="L228" s="7"/>
      <c r="M228" s="11"/>
      <c r="N228" s="7"/>
      <c r="O228" s="7"/>
      <c r="P228" s="7"/>
      <c r="Q228" s="11"/>
      <c r="R228" s="7"/>
      <c r="S228" s="7"/>
      <c r="T228" s="7"/>
      <c r="U228" s="7"/>
      <c r="V228" s="7"/>
      <c r="W228" s="7"/>
      <c r="X228" s="7"/>
      <c r="Y228" s="11"/>
      <c r="Z228" s="7"/>
      <c r="AA228" s="10"/>
      <c r="AB228" s="10"/>
    </row>
    <row r="229" ht="12.0" customHeight="1">
      <c r="A229" s="7"/>
      <c r="B229" s="7"/>
      <c r="C229" s="7"/>
      <c r="D229" s="7"/>
      <c r="E229" s="11"/>
      <c r="F229" s="7"/>
      <c r="G229" s="7"/>
      <c r="H229" s="7"/>
      <c r="I229" s="11"/>
      <c r="J229" s="7"/>
      <c r="K229" s="7"/>
      <c r="L229" s="7"/>
      <c r="M229" s="11"/>
      <c r="N229" s="7"/>
      <c r="O229" s="7"/>
      <c r="P229" s="7"/>
      <c r="Q229" s="11"/>
      <c r="R229" s="7"/>
      <c r="S229" s="7"/>
      <c r="T229" s="7"/>
      <c r="U229" s="7"/>
      <c r="V229" s="7"/>
      <c r="W229" s="7"/>
      <c r="X229" s="7"/>
      <c r="Y229" s="11"/>
      <c r="Z229" s="7"/>
      <c r="AA229" s="10"/>
      <c r="AB229" s="10"/>
    </row>
    <row r="230" ht="12.0" customHeight="1">
      <c r="A230" s="7"/>
      <c r="B230" s="7"/>
      <c r="C230" s="7"/>
      <c r="D230" s="7"/>
      <c r="E230" s="11"/>
      <c r="F230" s="7"/>
      <c r="G230" s="7"/>
      <c r="H230" s="7"/>
      <c r="I230" s="11"/>
      <c r="J230" s="7"/>
      <c r="K230" s="7"/>
      <c r="L230" s="7"/>
      <c r="M230" s="11"/>
      <c r="N230" s="7"/>
      <c r="O230" s="7"/>
      <c r="P230" s="7"/>
      <c r="Q230" s="11"/>
      <c r="R230" s="7"/>
      <c r="S230" s="7"/>
      <c r="T230" s="7"/>
      <c r="U230" s="7"/>
      <c r="V230" s="7"/>
      <c r="W230" s="7"/>
      <c r="X230" s="7"/>
      <c r="Y230" s="11"/>
      <c r="Z230" s="7"/>
      <c r="AA230" s="10"/>
      <c r="AB230" s="10"/>
    </row>
    <row r="231" ht="12.0" customHeight="1">
      <c r="A231" s="7"/>
      <c r="B231" s="7"/>
      <c r="C231" s="7"/>
      <c r="D231" s="7"/>
      <c r="E231" s="11"/>
      <c r="F231" s="7"/>
      <c r="G231" s="7"/>
      <c r="H231" s="7"/>
      <c r="I231" s="11"/>
      <c r="J231" s="7"/>
      <c r="K231" s="7"/>
      <c r="L231" s="7"/>
      <c r="M231" s="11"/>
      <c r="N231" s="7"/>
      <c r="O231" s="7"/>
      <c r="P231" s="7"/>
      <c r="Q231" s="11"/>
      <c r="R231" s="7"/>
      <c r="S231" s="7"/>
      <c r="T231" s="7"/>
      <c r="U231" s="7"/>
      <c r="V231" s="7"/>
      <c r="W231" s="7"/>
      <c r="X231" s="7"/>
      <c r="Y231" s="11"/>
      <c r="Z231" s="7"/>
      <c r="AA231" s="10"/>
      <c r="AB231" s="10"/>
    </row>
    <row r="232" ht="12.0" customHeight="1">
      <c r="A232" s="7"/>
      <c r="B232" s="7"/>
      <c r="C232" s="7"/>
      <c r="D232" s="7"/>
      <c r="E232" s="11"/>
      <c r="F232" s="7"/>
      <c r="G232" s="7"/>
      <c r="H232" s="7"/>
      <c r="I232" s="11"/>
      <c r="J232" s="7"/>
      <c r="K232" s="7"/>
      <c r="L232" s="7"/>
      <c r="M232" s="11"/>
      <c r="N232" s="7"/>
      <c r="O232" s="7"/>
      <c r="P232" s="7"/>
      <c r="Q232" s="11"/>
      <c r="R232" s="7"/>
      <c r="S232" s="7"/>
      <c r="T232" s="7"/>
      <c r="U232" s="7"/>
      <c r="V232" s="7"/>
      <c r="W232" s="7"/>
      <c r="X232" s="7"/>
      <c r="Y232" s="11"/>
      <c r="Z232" s="7"/>
      <c r="AA232" s="10"/>
      <c r="AB232" s="10"/>
    </row>
    <row r="233" ht="12.0" customHeight="1">
      <c r="A233" s="7"/>
      <c r="B233" s="7"/>
      <c r="C233" s="7"/>
      <c r="D233" s="7"/>
      <c r="E233" s="11"/>
      <c r="F233" s="7"/>
      <c r="G233" s="7"/>
      <c r="H233" s="7"/>
      <c r="I233" s="11"/>
      <c r="J233" s="7"/>
      <c r="K233" s="7"/>
      <c r="L233" s="7"/>
      <c r="M233" s="11"/>
      <c r="N233" s="7"/>
      <c r="O233" s="7"/>
      <c r="P233" s="7"/>
      <c r="Q233" s="11"/>
      <c r="R233" s="7"/>
      <c r="S233" s="7"/>
      <c r="T233" s="7"/>
      <c r="U233" s="7"/>
      <c r="V233" s="7"/>
      <c r="W233" s="7"/>
      <c r="X233" s="7"/>
      <c r="Y233" s="11"/>
      <c r="Z233" s="7"/>
      <c r="AA233" s="10"/>
      <c r="AB233" s="10"/>
    </row>
    <row r="234" ht="12.0" customHeight="1">
      <c r="A234" s="7"/>
      <c r="B234" s="7"/>
      <c r="C234" s="7"/>
      <c r="D234" s="7"/>
      <c r="E234" s="11"/>
      <c r="F234" s="7"/>
      <c r="G234" s="7"/>
      <c r="H234" s="7"/>
      <c r="I234" s="11"/>
      <c r="J234" s="7"/>
      <c r="K234" s="7"/>
      <c r="L234" s="7"/>
      <c r="M234" s="11"/>
      <c r="N234" s="7"/>
      <c r="O234" s="7"/>
      <c r="P234" s="7"/>
      <c r="Q234" s="11"/>
      <c r="R234" s="7"/>
      <c r="S234" s="7"/>
      <c r="T234" s="7"/>
      <c r="U234" s="7"/>
      <c r="V234" s="7"/>
      <c r="W234" s="7"/>
      <c r="X234" s="7"/>
      <c r="Y234" s="11"/>
      <c r="Z234" s="7"/>
      <c r="AA234" s="10"/>
      <c r="AB234" s="10"/>
    </row>
    <row r="235" ht="12.0" customHeight="1">
      <c r="A235" s="7"/>
      <c r="B235" s="7"/>
      <c r="C235" s="7"/>
      <c r="D235" s="7"/>
      <c r="E235" s="11"/>
      <c r="F235" s="7"/>
      <c r="G235" s="7"/>
      <c r="H235" s="7"/>
      <c r="I235" s="11"/>
      <c r="J235" s="7"/>
      <c r="K235" s="7"/>
      <c r="L235" s="7"/>
      <c r="M235" s="11"/>
      <c r="N235" s="7"/>
      <c r="O235" s="7"/>
      <c r="P235" s="7"/>
      <c r="Q235" s="11"/>
      <c r="R235" s="7"/>
      <c r="S235" s="7"/>
      <c r="T235" s="7"/>
      <c r="U235" s="7"/>
      <c r="V235" s="7"/>
      <c r="W235" s="7"/>
      <c r="X235" s="7"/>
      <c r="Y235" s="11"/>
      <c r="Z235" s="7"/>
      <c r="AA235" s="10"/>
      <c r="AB235" s="10"/>
    </row>
    <row r="236" ht="12.0" customHeight="1">
      <c r="A236" s="7"/>
      <c r="B236" s="7"/>
      <c r="C236" s="7"/>
      <c r="D236" s="7"/>
      <c r="E236" s="11"/>
      <c r="F236" s="7"/>
      <c r="G236" s="7"/>
      <c r="H236" s="7"/>
      <c r="I236" s="11"/>
      <c r="J236" s="7"/>
      <c r="K236" s="7"/>
      <c r="L236" s="7"/>
      <c r="M236" s="11"/>
      <c r="N236" s="7"/>
      <c r="O236" s="7"/>
      <c r="P236" s="7"/>
      <c r="Q236" s="11"/>
      <c r="R236" s="7"/>
      <c r="S236" s="7"/>
      <c r="T236" s="7"/>
      <c r="U236" s="7"/>
      <c r="V236" s="7"/>
      <c r="W236" s="7"/>
      <c r="X236" s="7"/>
      <c r="Y236" s="11"/>
      <c r="Z236" s="7"/>
      <c r="AA236" s="10"/>
      <c r="AB236" s="10"/>
    </row>
    <row r="237" ht="12.0" customHeight="1">
      <c r="A237" s="7"/>
      <c r="B237" s="7"/>
      <c r="C237" s="7"/>
      <c r="D237" s="7"/>
      <c r="E237" s="11"/>
      <c r="F237" s="7"/>
      <c r="G237" s="7"/>
      <c r="H237" s="7"/>
      <c r="I237" s="11"/>
      <c r="J237" s="7"/>
      <c r="K237" s="7"/>
      <c r="L237" s="7"/>
      <c r="M237" s="11"/>
      <c r="N237" s="7"/>
      <c r="O237" s="7"/>
      <c r="P237" s="7"/>
      <c r="Q237" s="11"/>
      <c r="R237" s="7"/>
      <c r="S237" s="7"/>
      <c r="T237" s="7"/>
      <c r="U237" s="7"/>
      <c r="V237" s="7"/>
      <c r="W237" s="7"/>
      <c r="X237" s="7"/>
      <c r="Y237" s="11"/>
      <c r="Z237" s="7"/>
      <c r="AA237" s="10"/>
      <c r="AB237" s="10"/>
    </row>
    <row r="238" ht="12.0" customHeight="1">
      <c r="A238" s="7"/>
      <c r="B238" s="7"/>
      <c r="C238" s="7"/>
      <c r="D238" s="7"/>
      <c r="E238" s="11"/>
      <c r="F238" s="7"/>
      <c r="G238" s="7"/>
      <c r="H238" s="7"/>
      <c r="I238" s="11"/>
      <c r="J238" s="7"/>
      <c r="K238" s="7"/>
      <c r="L238" s="7"/>
      <c r="M238" s="11"/>
      <c r="N238" s="7"/>
      <c r="O238" s="7"/>
      <c r="P238" s="7"/>
      <c r="Q238" s="11"/>
      <c r="R238" s="7"/>
      <c r="S238" s="7"/>
      <c r="T238" s="7"/>
      <c r="U238" s="7"/>
      <c r="V238" s="7"/>
      <c r="W238" s="7"/>
      <c r="X238" s="7"/>
      <c r="Y238" s="11"/>
      <c r="Z238" s="7"/>
      <c r="AA238" s="10"/>
      <c r="AB238" s="10"/>
    </row>
    <row r="239" ht="12.0" customHeight="1">
      <c r="A239" s="7"/>
      <c r="B239" s="7"/>
      <c r="C239" s="7"/>
      <c r="D239" s="7"/>
      <c r="E239" s="11"/>
      <c r="F239" s="7"/>
      <c r="G239" s="7"/>
      <c r="H239" s="7"/>
      <c r="I239" s="11"/>
      <c r="J239" s="7"/>
      <c r="K239" s="7"/>
      <c r="L239" s="7"/>
      <c r="M239" s="11"/>
      <c r="N239" s="7"/>
      <c r="O239" s="7"/>
      <c r="P239" s="7"/>
      <c r="Q239" s="11"/>
      <c r="R239" s="7"/>
      <c r="S239" s="7"/>
      <c r="T239" s="7"/>
      <c r="U239" s="7"/>
      <c r="V239" s="7"/>
      <c r="W239" s="7"/>
      <c r="X239" s="7"/>
      <c r="Y239" s="11"/>
      <c r="Z239" s="7"/>
      <c r="AA239" s="10"/>
      <c r="AB239" s="10"/>
    </row>
    <row r="240" ht="12.0" customHeight="1">
      <c r="A240" s="7"/>
      <c r="B240" s="7"/>
      <c r="C240" s="7"/>
      <c r="D240" s="7"/>
      <c r="E240" s="11"/>
      <c r="F240" s="7"/>
      <c r="G240" s="7"/>
      <c r="H240" s="7"/>
      <c r="I240" s="11"/>
      <c r="J240" s="7"/>
      <c r="K240" s="7"/>
      <c r="L240" s="7"/>
      <c r="M240" s="11"/>
      <c r="N240" s="7"/>
      <c r="O240" s="7"/>
      <c r="P240" s="7"/>
      <c r="Q240" s="11"/>
      <c r="R240" s="7"/>
      <c r="S240" s="7"/>
      <c r="T240" s="7"/>
      <c r="U240" s="7"/>
      <c r="V240" s="7"/>
      <c r="W240" s="7"/>
      <c r="X240" s="7"/>
      <c r="Y240" s="11"/>
      <c r="Z240" s="7"/>
      <c r="AA240" s="10"/>
      <c r="AB240" s="10"/>
    </row>
    <row r="241" ht="12.0" customHeight="1">
      <c r="A241" s="7"/>
      <c r="B241" s="7"/>
      <c r="C241" s="7"/>
      <c r="D241" s="7"/>
      <c r="E241" s="11"/>
      <c r="F241" s="7"/>
      <c r="G241" s="7"/>
      <c r="H241" s="7"/>
      <c r="I241" s="11"/>
      <c r="J241" s="7"/>
      <c r="K241" s="7"/>
      <c r="L241" s="7"/>
      <c r="M241" s="11"/>
      <c r="N241" s="7"/>
      <c r="O241" s="7"/>
      <c r="P241" s="7"/>
      <c r="Q241" s="11"/>
      <c r="R241" s="7"/>
      <c r="S241" s="7"/>
      <c r="T241" s="7"/>
      <c r="U241" s="7"/>
      <c r="V241" s="7"/>
      <c r="W241" s="7"/>
      <c r="X241" s="7"/>
      <c r="Y241" s="11"/>
      <c r="Z241" s="7"/>
      <c r="AA241" s="10"/>
      <c r="AB241" s="10"/>
    </row>
    <row r="242" ht="12.0" customHeight="1">
      <c r="A242" s="7"/>
      <c r="B242" s="7"/>
      <c r="C242" s="7"/>
      <c r="D242" s="7"/>
      <c r="E242" s="11"/>
      <c r="F242" s="7"/>
      <c r="G242" s="7"/>
      <c r="H242" s="7"/>
      <c r="I242" s="11"/>
      <c r="J242" s="7"/>
      <c r="K242" s="7"/>
      <c r="L242" s="7"/>
      <c r="M242" s="11"/>
      <c r="N242" s="7"/>
      <c r="O242" s="7"/>
      <c r="P242" s="7"/>
      <c r="Q242" s="11"/>
      <c r="R242" s="7"/>
      <c r="S242" s="7"/>
      <c r="T242" s="7"/>
      <c r="U242" s="7"/>
      <c r="V242" s="7"/>
      <c r="W242" s="7"/>
      <c r="X242" s="7"/>
      <c r="Y242" s="11"/>
      <c r="Z242" s="7"/>
      <c r="AA242" s="10"/>
      <c r="AB242" s="10"/>
    </row>
    <row r="243" ht="12.0" customHeight="1">
      <c r="A243" s="7"/>
      <c r="B243" s="7"/>
      <c r="C243" s="7"/>
      <c r="D243" s="7"/>
      <c r="E243" s="11"/>
      <c r="F243" s="7"/>
      <c r="G243" s="7"/>
      <c r="H243" s="7"/>
      <c r="I243" s="11"/>
      <c r="J243" s="7"/>
      <c r="K243" s="7"/>
      <c r="L243" s="7"/>
      <c r="M243" s="11"/>
      <c r="N243" s="7"/>
      <c r="O243" s="7"/>
      <c r="P243" s="7"/>
      <c r="Q243" s="11"/>
      <c r="R243" s="7"/>
      <c r="S243" s="7"/>
      <c r="T243" s="7"/>
      <c r="U243" s="7"/>
      <c r="V243" s="7"/>
      <c r="W243" s="7"/>
      <c r="X243" s="7"/>
      <c r="Y243" s="11"/>
      <c r="Z243" s="7"/>
      <c r="AA243" s="10"/>
      <c r="AB243" s="10"/>
    </row>
    <row r="244" ht="12.0" customHeight="1">
      <c r="A244" s="7"/>
      <c r="B244" s="7"/>
      <c r="C244" s="7"/>
      <c r="D244" s="7"/>
      <c r="E244" s="11"/>
      <c r="F244" s="7"/>
      <c r="G244" s="7"/>
      <c r="H244" s="7"/>
      <c r="I244" s="11"/>
      <c r="J244" s="7"/>
      <c r="K244" s="7"/>
      <c r="L244" s="7"/>
      <c r="M244" s="11"/>
      <c r="N244" s="7"/>
      <c r="O244" s="7"/>
      <c r="P244" s="7"/>
      <c r="Q244" s="11"/>
      <c r="R244" s="7"/>
      <c r="S244" s="7"/>
      <c r="T244" s="7"/>
      <c r="U244" s="7"/>
      <c r="V244" s="7"/>
      <c r="W244" s="7"/>
      <c r="X244" s="7"/>
      <c r="Y244" s="11"/>
      <c r="Z244" s="7"/>
      <c r="AA244" s="10"/>
      <c r="AB244" s="10"/>
    </row>
    <row r="245" ht="12.0" customHeight="1">
      <c r="A245" s="7"/>
      <c r="B245" s="7"/>
      <c r="C245" s="7"/>
      <c r="D245" s="7"/>
      <c r="E245" s="11"/>
      <c r="F245" s="7"/>
      <c r="G245" s="7"/>
      <c r="H245" s="7"/>
      <c r="I245" s="11"/>
      <c r="J245" s="7"/>
      <c r="K245" s="7"/>
      <c r="L245" s="7"/>
      <c r="M245" s="11"/>
      <c r="N245" s="7"/>
      <c r="O245" s="7"/>
      <c r="P245" s="7"/>
      <c r="Q245" s="11"/>
      <c r="R245" s="7"/>
      <c r="S245" s="7"/>
      <c r="T245" s="7"/>
      <c r="U245" s="7"/>
      <c r="V245" s="7"/>
      <c r="W245" s="7"/>
      <c r="X245" s="7"/>
      <c r="Y245" s="11"/>
      <c r="Z245" s="7"/>
      <c r="AA245" s="10"/>
      <c r="AB245" s="10"/>
    </row>
    <row r="246" ht="12.0" customHeight="1">
      <c r="A246" s="7"/>
      <c r="B246" s="7"/>
      <c r="C246" s="7"/>
      <c r="D246" s="7"/>
      <c r="E246" s="11"/>
      <c r="F246" s="7"/>
      <c r="G246" s="7"/>
      <c r="H246" s="7"/>
      <c r="I246" s="11"/>
      <c r="J246" s="7"/>
      <c r="K246" s="7"/>
      <c r="L246" s="7"/>
      <c r="M246" s="11"/>
      <c r="N246" s="7"/>
      <c r="O246" s="7"/>
      <c r="P246" s="7"/>
      <c r="Q246" s="11"/>
      <c r="R246" s="7"/>
      <c r="S246" s="7"/>
      <c r="T246" s="7"/>
      <c r="U246" s="7"/>
      <c r="V246" s="7"/>
      <c r="W246" s="7"/>
      <c r="X246" s="7"/>
      <c r="Y246" s="11"/>
      <c r="Z246" s="7"/>
      <c r="AA246" s="10"/>
      <c r="AB246" s="10"/>
    </row>
    <row r="247" ht="12.0" customHeight="1">
      <c r="A247" s="7"/>
      <c r="B247" s="7"/>
      <c r="C247" s="7"/>
      <c r="D247" s="7"/>
      <c r="E247" s="11"/>
      <c r="F247" s="7"/>
      <c r="G247" s="7"/>
      <c r="H247" s="7"/>
      <c r="I247" s="11"/>
      <c r="J247" s="7"/>
      <c r="K247" s="7"/>
      <c r="L247" s="7"/>
      <c r="M247" s="11"/>
      <c r="N247" s="7"/>
      <c r="O247" s="7"/>
      <c r="P247" s="7"/>
      <c r="Q247" s="11"/>
      <c r="R247" s="7"/>
      <c r="S247" s="7"/>
      <c r="T247" s="7"/>
      <c r="U247" s="7"/>
      <c r="V247" s="7"/>
      <c r="W247" s="7"/>
      <c r="X247" s="7"/>
      <c r="Y247" s="11"/>
      <c r="Z247" s="7"/>
      <c r="AA247" s="10"/>
      <c r="AB247" s="10"/>
    </row>
    <row r="248" ht="12.0" customHeight="1">
      <c r="A248" s="7"/>
      <c r="B248" s="7"/>
      <c r="C248" s="7"/>
      <c r="D248" s="7"/>
      <c r="E248" s="11"/>
      <c r="F248" s="7"/>
      <c r="G248" s="7"/>
      <c r="H248" s="7"/>
      <c r="I248" s="11"/>
      <c r="J248" s="7"/>
      <c r="K248" s="7"/>
      <c r="L248" s="7"/>
      <c r="M248" s="11"/>
      <c r="N248" s="7"/>
      <c r="O248" s="7"/>
      <c r="P248" s="7"/>
      <c r="Q248" s="11"/>
      <c r="R248" s="7"/>
      <c r="S248" s="7"/>
      <c r="T248" s="7"/>
      <c r="U248" s="7"/>
      <c r="V248" s="7"/>
      <c r="W248" s="7"/>
      <c r="X248" s="7"/>
      <c r="Y248" s="11"/>
      <c r="Z248" s="7"/>
      <c r="AA248" s="10"/>
      <c r="AB248" s="10"/>
    </row>
    <row r="249" ht="12.0" customHeight="1">
      <c r="A249" s="7"/>
      <c r="B249" s="7"/>
      <c r="C249" s="7"/>
      <c r="D249" s="7"/>
      <c r="E249" s="11"/>
      <c r="F249" s="7"/>
      <c r="G249" s="7"/>
      <c r="H249" s="7"/>
      <c r="I249" s="11"/>
      <c r="J249" s="7"/>
      <c r="K249" s="7"/>
      <c r="L249" s="7"/>
      <c r="M249" s="11"/>
      <c r="N249" s="7"/>
      <c r="O249" s="7"/>
      <c r="P249" s="7"/>
      <c r="Q249" s="11"/>
      <c r="R249" s="7"/>
      <c r="S249" s="7"/>
      <c r="T249" s="7"/>
      <c r="U249" s="7"/>
      <c r="V249" s="7"/>
      <c r="W249" s="7"/>
      <c r="X249" s="7"/>
      <c r="Y249" s="11"/>
      <c r="Z249" s="7"/>
      <c r="AA249" s="10"/>
      <c r="AB249" s="10"/>
    </row>
    <row r="250" ht="12.0" customHeight="1">
      <c r="A250" s="7"/>
      <c r="B250" s="7"/>
      <c r="C250" s="7"/>
      <c r="D250" s="7"/>
      <c r="E250" s="11"/>
      <c r="F250" s="7"/>
      <c r="G250" s="7"/>
      <c r="H250" s="7"/>
      <c r="I250" s="11"/>
      <c r="J250" s="7"/>
      <c r="K250" s="7"/>
      <c r="L250" s="7"/>
      <c r="M250" s="11"/>
      <c r="N250" s="7"/>
      <c r="O250" s="7"/>
      <c r="P250" s="7"/>
      <c r="Q250" s="11"/>
      <c r="R250" s="7"/>
      <c r="S250" s="7"/>
      <c r="T250" s="7"/>
      <c r="U250" s="7"/>
      <c r="V250" s="7"/>
      <c r="W250" s="7"/>
      <c r="X250" s="7"/>
      <c r="Y250" s="11"/>
      <c r="Z250" s="7"/>
      <c r="AA250" s="10"/>
      <c r="AB250" s="10"/>
    </row>
    <row r="251" ht="12.0" customHeight="1">
      <c r="A251" s="7"/>
      <c r="B251" s="7"/>
      <c r="C251" s="7"/>
      <c r="D251" s="7"/>
      <c r="E251" s="11"/>
      <c r="F251" s="7"/>
      <c r="G251" s="7"/>
      <c r="H251" s="7"/>
      <c r="I251" s="11"/>
      <c r="J251" s="7"/>
      <c r="K251" s="7"/>
      <c r="L251" s="7"/>
      <c r="M251" s="11"/>
      <c r="N251" s="7"/>
      <c r="O251" s="7"/>
      <c r="P251" s="7"/>
      <c r="Q251" s="11"/>
      <c r="R251" s="7"/>
      <c r="S251" s="7"/>
      <c r="T251" s="7"/>
      <c r="U251" s="7"/>
      <c r="V251" s="7"/>
      <c r="W251" s="7"/>
      <c r="X251" s="7"/>
      <c r="Y251" s="11"/>
      <c r="Z251" s="7"/>
      <c r="AA251" s="10"/>
      <c r="AB251" s="10"/>
    </row>
    <row r="252" ht="12.0" customHeight="1">
      <c r="A252" s="7"/>
      <c r="B252" s="7"/>
      <c r="C252" s="7"/>
      <c r="D252" s="7"/>
      <c r="E252" s="11"/>
      <c r="F252" s="7"/>
      <c r="G252" s="7"/>
      <c r="H252" s="7"/>
      <c r="I252" s="11"/>
      <c r="J252" s="7"/>
      <c r="K252" s="7"/>
      <c r="L252" s="7"/>
      <c r="M252" s="11"/>
      <c r="N252" s="7"/>
      <c r="O252" s="7"/>
      <c r="P252" s="7"/>
      <c r="Q252" s="11"/>
      <c r="R252" s="7"/>
      <c r="S252" s="7"/>
      <c r="T252" s="7"/>
      <c r="U252" s="7"/>
      <c r="V252" s="7"/>
      <c r="W252" s="7"/>
      <c r="X252" s="7"/>
      <c r="Y252" s="11"/>
      <c r="Z252" s="7"/>
      <c r="AA252" s="10"/>
      <c r="AB252" s="10"/>
    </row>
    <row r="253" ht="12.0" customHeight="1">
      <c r="A253" s="7"/>
      <c r="B253" s="7"/>
      <c r="C253" s="7"/>
      <c r="D253" s="7"/>
      <c r="E253" s="11"/>
      <c r="F253" s="7"/>
      <c r="G253" s="7"/>
      <c r="H253" s="7"/>
      <c r="I253" s="11"/>
      <c r="J253" s="7"/>
      <c r="K253" s="7"/>
      <c r="L253" s="7"/>
      <c r="M253" s="11"/>
      <c r="N253" s="7"/>
      <c r="O253" s="7"/>
      <c r="P253" s="7"/>
      <c r="Q253" s="11"/>
      <c r="R253" s="7"/>
      <c r="S253" s="7"/>
      <c r="T253" s="7"/>
      <c r="U253" s="7"/>
      <c r="V253" s="7"/>
      <c r="W253" s="7"/>
      <c r="X253" s="7"/>
      <c r="Y253" s="11"/>
      <c r="Z253" s="7"/>
      <c r="AA253" s="10"/>
      <c r="AB253" s="10"/>
    </row>
    <row r="254" ht="12.0" customHeight="1">
      <c r="A254" s="7"/>
      <c r="B254" s="7"/>
      <c r="C254" s="7"/>
      <c r="D254" s="7"/>
      <c r="E254" s="11"/>
      <c r="F254" s="7"/>
      <c r="G254" s="7"/>
      <c r="H254" s="7"/>
      <c r="I254" s="11"/>
      <c r="J254" s="7"/>
      <c r="K254" s="7"/>
      <c r="L254" s="7"/>
      <c r="M254" s="11"/>
      <c r="N254" s="7"/>
      <c r="O254" s="7"/>
      <c r="P254" s="7"/>
      <c r="Q254" s="11"/>
      <c r="R254" s="7"/>
      <c r="S254" s="7"/>
      <c r="T254" s="7"/>
      <c r="U254" s="7"/>
      <c r="V254" s="7"/>
      <c r="W254" s="7"/>
      <c r="X254" s="7"/>
      <c r="Y254" s="11"/>
      <c r="Z254" s="7"/>
      <c r="AA254" s="10"/>
      <c r="AB254" s="10"/>
    </row>
    <row r="255" ht="12.0" customHeight="1">
      <c r="A255" s="7"/>
      <c r="B255" s="7"/>
      <c r="C255" s="7"/>
      <c r="D255" s="7"/>
      <c r="E255" s="11"/>
      <c r="F255" s="7"/>
      <c r="G255" s="7"/>
      <c r="H255" s="7"/>
      <c r="I255" s="11"/>
      <c r="J255" s="7"/>
      <c r="K255" s="7"/>
      <c r="L255" s="7"/>
      <c r="M255" s="11"/>
      <c r="N255" s="7"/>
      <c r="O255" s="7"/>
      <c r="P255" s="7"/>
      <c r="Q255" s="11"/>
      <c r="R255" s="7"/>
      <c r="S255" s="7"/>
      <c r="T255" s="7"/>
      <c r="U255" s="7"/>
      <c r="V255" s="7"/>
      <c r="W255" s="7"/>
      <c r="X255" s="7"/>
      <c r="Y255" s="11"/>
      <c r="Z255" s="7"/>
      <c r="AA255" s="10"/>
      <c r="AB255" s="10"/>
    </row>
    <row r="256" ht="12.0" customHeight="1">
      <c r="A256" s="7"/>
      <c r="B256" s="7"/>
      <c r="C256" s="7"/>
      <c r="D256" s="7"/>
      <c r="E256" s="11"/>
      <c r="F256" s="7"/>
      <c r="G256" s="7"/>
      <c r="H256" s="7"/>
      <c r="I256" s="11"/>
      <c r="J256" s="7"/>
      <c r="K256" s="7"/>
      <c r="L256" s="7"/>
      <c r="M256" s="11"/>
      <c r="N256" s="7"/>
      <c r="O256" s="7"/>
      <c r="P256" s="7"/>
      <c r="Q256" s="11"/>
      <c r="R256" s="7"/>
      <c r="S256" s="7"/>
      <c r="T256" s="7"/>
      <c r="U256" s="7"/>
      <c r="V256" s="7"/>
      <c r="W256" s="7"/>
      <c r="X256" s="7"/>
      <c r="Y256" s="11"/>
      <c r="Z256" s="7"/>
      <c r="AA256" s="10"/>
      <c r="AB256" s="10"/>
    </row>
    <row r="257" ht="12.0" customHeight="1">
      <c r="A257" s="7"/>
      <c r="B257" s="7"/>
      <c r="C257" s="7"/>
      <c r="D257" s="7"/>
      <c r="E257" s="11"/>
      <c r="F257" s="7"/>
      <c r="G257" s="7"/>
      <c r="H257" s="7"/>
      <c r="I257" s="11"/>
      <c r="J257" s="7"/>
      <c r="K257" s="7"/>
      <c r="L257" s="7"/>
      <c r="M257" s="11"/>
      <c r="N257" s="7"/>
      <c r="O257" s="7"/>
      <c r="P257" s="7"/>
      <c r="Q257" s="11"/>
      <c r="R257" s="7"/>
      <c r="S257" s="7"/>
      <c r="T257" s="7"/>
      <c r="U257" s="7"/>
      <c r="V257" s="7"/>
      <c r="W257" s="7"/>
      <c r="X257" s="7"/>
      <c r="Y257" s="11"/>
      <c r="Z257" s="7"/>
      <c r="AA257" s="10"/>
      <c r="AB257" s="10"/>
    </row>
    <row r="258" ht="12.0" customHeight="1">
      <c r="A258" s="7"/>
      <c r="B258" s="7"/>
      <c r="C258" s="7"/>
      <c r="D258" s="7"/>
      <c r="E258" s="11"/>
      <c r="F258" s="7"/>
      <c r="G258" s="7"/>
      <c r="H258" s="7"/>
      <c r="I258" s="11"/>
      <c r="J258" s="7"/>
      <c r="K258" s="7"/>
      <c r="L258" s="7"/>
      <c r="M258" s="11"/>
      <c r="N258" s="7"/>
      <c r="O258" s="7"/>
      <c r="P258" s="7"/>
      <c r="Q258" s="11"/>
      <c r="R258" s="7"/>
      <c r="S258" s="7"/>
      <c r="T258" s="7"/>
      <c r="U258" s="7"/>
      <c r="V258" s="7"/>
      <c r="W258" s="7"/>
      <c r="X258" s="7"/>
      <c r="Y258" s="11"/>
      <c r="Z258" s="7"/>
      <c r="AA258" s="10"/>
      <c r="AB258" s="10"/>
    </row>
    <row r="259" ht="12.0" customHeight="1">
      <c r="A259" s="7"/>
      <c r="B259" s="7"/>
      <c r="C259" s="7"/>
      <c r="D259" s="7"/>
      <c r="E259" s="11"/>
      <c r="F259" s="7"/>
      <c r="G259" s="7"/>
      <c r="H259" s="7"/>
      <c r="I259" s="11"/>
      <c r="J259" s="7"/>
      <c r="K259" s="7"/>
      <c r="L259" s="7"/>
      <c r="M259" s="11"/>
      <c r="N259" s="7"/>
      <c r="O259" s="7"/>
      <c r="P259" s="7"/>
      <c r="Q259" s="11"/>
      <c r="R259" s="7"/>
      <c r="S259" s="7"/>
      <c r="T259" s="7"/>
      <c r="U259" s="7"/>
      <c r="V259" s="7"/>
      <c r="W259" s="7"/>
      <c r="X259" s="7"/>
      <c r="Y259" s="11"/>
      <c r="Z259" s="7"/>
      <c r="AA259" s="10"/>
      <c r="AB259" s="10"/>
    </row>
    <row r="260" ht="12.0" customHeight="1">
      <c r="A260" s="7"/>
      <c r="B260" s="7"/>
      <c r="C260" s="7"/>
      <c r="D260" s="7"/>
      <c r="E260" s="11"/>
      <c r="F260" s="7"/>
      <c r="G260" s="7"/>
      <c r="H260" s="7"/>
      <c r="I260" s="11"/>
      <c r="J260" s="7"/>
      <c r="K260" s="7"/>
      <c r="L260" s="7"/>
      <c r="M260" s="11"/>
      <c r="N260" s="7"/>
      <c r="O260" s="7"/>
      <c r="P260" s="7"/>
      <c r="Q260" s="11"/>
      <c r="R260" s="7"/>
      <c r="S260" s="7"/>
      <c r="T260" s="7"/>
      <c r="U260" s="7"/>
      <c r="V260" s="7"/>
      <c r="W260" s="7"/>
      <c r="X260" s="7"/>
      <c r="Y260" s="11"/>
      <c r="Z260" s="7"/>
      <c r="AA260" s="10"/>
      <c r="AB260" s="10"/>
    </row>
    <row r="261" ht="12.0" customHeight="1">
      <c r="A261" s="7"/>
      <c r="B261" s="7"/>
      <c r="C261" s="7"/>
      <c r="D261" s="7"/>
      <c r="E261" s="11"/>
      <c r="F261" s="7"/>
      <c r="G261" s="7"/>
      <c r="H261" s="7"/>
      <c r="I261" s="11"/>
      <c r="J261" s="7"/>
      <c r="K261" s="7"/>
      <c r="L261" s="7"/>
      <c r="M261" s="11"/>
      <c r="N261" s="7"/>
      <c r="O261" s="7"/>
      <c r="P261" s="7"/>
      <c r="Q261" s="11"/>
      <c r="R261" s="7"/>
      <c r="S261" s="7"/>
      <c r="T261" s="7"/>
      <c r="U261" s="7"/>
      <c r="V261" s="7"/>
      <c r="W261" s="7"/>
      <c r="X261" s="7"/>
      <c r="Y261" s="11"/>
      <c r="Z261" s="7"/>
      <c r="AA261" s="10"/>
      <c r="AB261" s="10"/>
    </row>
    <row r="262" ht="12.0" customHeight="1">
      <c r="A262" s="7"/>
      <c r="B262" s="7"/>
      <c r="C262" s="7"/>
      <c r="D262" s="7"/>
      <c r="E262" s="11"/>
      <c r="F262" s="7"/>
      <c r="G262" s="7"/>
      <c r="H262" s="7"/>
      <c r="I262" s="11"/>
      <c r="J262" s="7"/>
      <c r="K262" s="7"/>
      <c r="L262" s="7"/>
      <c r="M262" s="11"/>
      <c r="N262" s="7"/>
      <c r="O262" s="7"/>
      <c r="P262" s="7"/>
      <c r="Q262" s="11"/>
      <c r="R262" s="7"/>
      <c r="S262" s="7"/>
      <c r="T262" s="7"/>
      <c r="U262" s="7"/>
      <c r="V262" s="7"/>
      <c r="W262" s="7"/>
      <c r="X262" s="7"/>
      <c r="Y262" s="11"/>
      <c r="Z262" s="7"/>
      <c r="AA262" s="10"/>
      <c r="AB262" s="10"/>
    </row>
    <row r="263" ht="12.0" customHeight="1">
      <c r="A263" s="7"/>
      <c r="B263" s="7"/>
      <c r="C263" s="7"/>
      <c r="D263" s="7"/>
      <c r="E263" s="11"/>
      <c r="F263" s="7"/>
      <c r="G263" s="7"/>
      <c r="H263" s="7"/>
      <c r="I263" s="11"/>
      <c r="J263" s="7"/>
      <c r="K263" s="7"/>
      <c r="L263" s="7"/>
      <c r="M263" s="11"/>
      <c r="N263" s="7"/>
      <c r="O263" s="7"/>
      <c r="P263" s="7"/>
      <c r="Q263" s="11"/>
      <c r="R263" s="7"/>
      <c r="S263" s="7"/>
      <c r="T263" s="7"/>
      <c r="U263" s="7"/>
      <c r="V263" s="7"/>
      <c r="W263" s="7"/>
      <c r="X263" s="7"/>
      <c r="Y263" s="11"/>
      <c r="Z263" s="7"/>
      <c r="AA263" s="10"/>
      <c r="AB263" s="10"/>
    </row>
    <row r="264" ht="12.0" customHeight="1">
      <c r="A264" s="7"/>
      <c r="B264" s="7"/>
      <c r="C264" s="7"/>
      <c r="D264" s="7"/>
      <c r="E264" s="11"/>
      <c r="F264" s="7"/>
      <c r="G264" s="7"/>
      <c r="H264" s="7"/>
      <c r="I264" s="11"/>
      <c r="J264" s="7"/>
      <c r="K264" s="7"/>
      <c r="L264" s="7"/>
      <c r="M264" s="11"/>
      <c r="N264" s="7"/>
      <c r="O264" s="7"/>
      <c r="P264" s="7"/>
      <c r="Q264" s="11"/>
      <c r="R264" s="7"/>
      <c r="S264" s="7"/>
      <c r="T264" s="7"/>
      <c r="U264" s="7"/>
      <c r="V264" s="7"/>
      <c r="W264" s="7"/>
      <c r="X264" s="7"/>
      <c r="Y264" s="11"/>
      <c r="Z264" s="7"/>
      <c r="AA264" s="10"/>
      <c r="AB264" s="10"/>
    </row>
    <row r="265" ht="12.0" customHeight="1">
      <c r="A265" s="7"/>
      <c r="B265" s="7"/>
      <c r="C265" s="7"/>
      <c r="D265" s="7"/>
      <c r="E265" s="11"/>
      <c r="F265" s="7"/>
      <c r="G265" s="7"/>
      <c r="H265" s="7"/>
      <c r="I265" s="11"/>
      <c r="J265" s="7"/>
      <c r="K265" s="7"/>
      <c r="L265" s="7"/>
      <c r="M265" s="11"/>
      <c r="N265" s="7"/>
      <c r="O265" s="7"/>
      <c r="P265" s="7"/>
      <c r="Q265" s="11"/>
      <c r="R265" s="7"/>
      <c r="S265" s="7"/>
      <c r="T265" s="7"/>
      <c r="U265" s="7"/>
      <c r="V265" s="7"/>
      <c r="W265" s="7"/>
      <c r="X265" s="7"/>
      <c r="Y265" s="11"/>
      <c r="Z265" s="7"/>
      <c r="AA265" s="10"/>
      <c r="AB265" s="10"/>
    </row>
    <row r="266" ht="12.0" customHeight="1">
      <c r="A266" s="7"/>
      <c r="B266" s="7"/>
      <c r="C266" s="7"/>
      <c r="D266" s="7"/>
      <c r="E266" s="11"/>
      <c r="F266" s="7"/>
      <c r="G266" s="7"/>
      <c r="H266" s="7"/>
      <c r="I266" s="11"/>
      <c r="J266" s="7"/>
      <c r="K266" s="7"/>
      <c r="L266" s="7"/>
      <c r="M266" s="11"/>
      <c r="N266" s="7"/>
      <c r="O266" s="7"/>
      <c r="P266" s="7"/>
      <c r="Q266" s="11"/>
      <c r="R266" s="7"/>
      <c r="S266" s="7"/>
      <c r="T266" s="7"/>
      <c r="U266" s="7"/>
      <c r="V266" s="7"/>
      <c r="W266" s="7"/>
      <c r="X266" s="7"/>
      <c r="Y266" s="11"/>
      <c r="Z266" s="7"/>
      <c r="AA266" s="10"/>
      <c r="AB266" s="10"/>
    </row>
    <row r="267" ht="12.0" customHeight="1">
      <c r="A267" s="7"/>
      <c r="B267" s="7"/>
      <c r="C267" s="7"/>
      <c r="D267" s="7"/>
      <c r="E267" s="11"/>
      <c r="F267" s="7"/>
      <c r="G267" s="7"/>
      <c r="H267" s="7"/>
      <c r="I267" s="11"/>
      <c r="J267" s="7"/>
      <c r="K267" s="7"/>
      <c r="L267" s="7"/>
      <c r="M267" s="11"/>
      <c r="N267" s="7"/>
      <c r="O267" s="7"/>
      <c r="P267" s="7"/>
      <c r="Q267" s="11"/>
      <c r="R267" s="7"/>
      <c r="S267" s="7"/>
      <c r="T267" s="7"/>
      <c r="U267" s="7"/>
      <c r="V267" s="7"/>
      <c r="W267" s="7"/>
      <c r="X267" s="7"/>
      <c r="Y267" s="11"/>
      <c r="Z267" s="7"/>
      <c r="AA267" s="10"/>
      <c r="AB267" s="10"/>
    </row>
    <row r="268" ht="12.0" customHeight="1">
      <c r="A268" s="7"/>
      <c r="B268" s="7"/>
      <c r="C268" s="7"/>
      <c r="D268" s="7"/>
      <c r="E268" s="11"/>
      <c r="F268" s="7"/>
      <c r="G268" s="7"/>
      <c r="H268" s="7"/>
      <c r="I268" s="11"/>
      <c r="J268" s="7"/>
      <c r="K268" s="7"/>
      <c r="L268" s="7"/>
      <c r="M268" s="11"/>
      <c r="N268" s="7"/>
      <c r="O268" s="7"/>
      <c r="P268" s="7"/>
      <c r="Q268" s="11"/>
      <c r="R268" s="7"/>
      <c r="S268" s="7"/>
      <c r="T268" s="7"/>
      <c r="U268" s="7"/>
      <c r="V268" s="7"/>
      <c r="W268" s="7"/>
      <c r="X268" s="7"/>
      <c r="Y268" s="11"/>
      <c r="Z268" s="7"/>
      <c r="AA268" s="10"/>
      <c r="AB268" s="10"/>
    </row>
    <row r="269" ht="12.0" customHeight="1">
      <c r="A269" s="7"/>
      <c r="B269" s="7"/>
      <c r="C269" s="7"/>
      <c r="D269" s="7"/>
      <c r="E269" s="11"/>
      <c r="F269" s="7"/>
      <c r="G269" s="7"/>
      <c r="H269" s="7"/>
      <c r="I269" s="11"/>
      <c r="J269" s="7"/>
      <c r="K269" s="7"/>
      <c r="L269" s="7"/>
      <c r="M269" s="11"/>
      <c r="N269" s="7"/>
      <c r="O269" s="7"/>
      <c r="P269" s="7"/>
      <c r="Q269" s="11"/>
      <c r="R269" s="7"/>
      <c r="S269" s="7"/>
      <c r="T269" s="7"/>
      <c r="U269" s="7"/>
      <c r="V269" s="7"/>
      <c r="W269" s="7"/>
      <c r="X269" s="7"/>
      <c r="Y269" s="11"/>
      <c r="Z269" s="7"/>
      <c r="AA269" s="10"/>
      <c r="AB269" s="10"/>
    </row>
    <row r="270" ht="12.0" customHeight="1">
      <c r="A270" s="7"/>
      <c r="B270" s="7"/>
      <c r="C270" s="7"/>
      <c r="D270" s="7"/>
      <c r="E270" s="11"/>
      <c r="F270" s="7"/>
      <c r="G270" s="7"/>
      <c r="H270" s="7"/>
      <c r="I270" s="11"/>
      <c r="J270" s="7"/>
      <c r="K270" s="7"/>
      <c r="L270" s="7"/>
      <c r="M270" s="11"/>
      <c r="N270" s="7"/>
      <c r="O270" s="7"/>
      <c r="P270" s="7"/>
      <c r="Q270" s="11"/>
      <c r="R270" s="7"/>
      <c r="S270" s="7"/>
      <c r="T270" s="7"/>
      <c r="U270" s="7"/>
      <c r="V270" s="7"/>
      <c r="W270" s="7"/>
      <c r="X270" s="7"/>
      <c r="Y270" s="11"/>
      <c r="Z270" s="7"/>
      <c r="AA270" s="10"/>
      <c r="AB270" s="10"/>
    </row>
    <row r="271" ht="12.0" customHeight="1">
      <c r="A271" s="7"/>
      <c r="B271" s="7"/>
      <c r="C271" s="7"/>
      <c r="D271" s="7"/>
      <c r="E271" s="11"/>
      <c r="F271" s="7"/>
      <c r="G271" s="7"/>
      <c r="H271" s="7"/>
      <c r="I271" s="11"/>
      <c r="J271" s="7"/>
      <c r="K271" s="7"/>
      <c r="L271" s="7"/>
      <c r="M271" s="11"/>
      <c r="N271" s="7"/>
      <c r="O271" s="7"/>
      <c r="P271" s="7"/>
      <c r="Q271" s="11"/>
      <c r="R271" s="7"/>
      <c r="S271" s="7"/>
      <c r="T271" s="7"/>
      <c r="U271" s="7"/>
      <c r="V271" s="7"/>
      <c r="W271" s="7"/>
      <c r="X271" s="7"/>
      <c r="Y271" s="11"/>
      <c r="Z271" s="7"/>
      <c r="AA271" s="10"/>
      <c r="AB271" s="10"/>
    </row>
    <row r="272" ht="12.0" customHeight="1">
      <c r="A272" s="7"/>
      <c r="B272" s="7"/>
      <c r="C272" s="7"/>
      <c r="D272" s="7"/>
      <c r="E272" s="11"/>
      <c r="F272" s="7"/>
      <c r="G272" s="7"/>
      <c r="H272" s="7"/>
      <c r="I272" s="11"/>
      <c r="J272" s="7"/>
      <c r="K272" s="7"/>
      <c r="L272" s="7"/>
      <c r="M272" s="11"/>
      <c r="N272" s="7"/>
      <c r="O272" s="7"/>
      <c r="P272" s="7"/>
      <c r="Q272" s="11"/>
      <c r="R272" s="7"/>
      <c r="S272" s="7"/>
      <c r="T272" s="7"/>
      <c r="U272" s="7"/>
      <c r="V272" s="7"/>
      <c r="W272" s="7"/>
      <c r="X272" s="7"/>
      <c r="Y272" s="11"/>
      <c r="Z272" s="7"/>
      <c r="AA272" s="10"/>
      <c r="AB272" s="10"/>
    </row>
    <row r="273" ht="12.0" customHeight="1">
      <c r="A273" s="7"/>
      <c r="B273" s="7"/>
      <c r="C273" s="7"/>
      <c r="D273" s="7"/>
      <c r="E273" s="11"/>
      <c r="F273" s="7"/>
      <c r="G273" s="7"/>
      <c r="H273" s="7"/>
      <c r="I273" s="11"/>
      <c r="J273" s="7"/>
      <c r="K273" s="7"/>
      <c r="L273" s="7"/>
      <c r="M273" s="11"/>
      <c r="N273" s="7"/>
      <c r="O273" s="7"/>
      <c r="P273" s="7"/>
      <c r="Q273" s="11"/>
      <c r="R273" s="7"/>
      <c r="S273" s="7"/>
      <c r="T273" s="7"/>
      <c r="U273" s="7"/>
      <c r="V273" s="7"/>
      <c r="W273" s="7"/>
      <c r="X273" s="7"/>
      <c r="Y273" s="11"/>
      <c r="Z273" s="7"/>
      <c r="AA273" s="10"/>
      <c r="AB273" s="10"/>
    </row>
    <row r="274" ht="12.0" customHeight="1">
      <c r="A274" s="7"/>
      <c r="B274" s="7"/>
      <c r="C274" s="7"/>
      <c r="D274" s="7"/>
      <c r="E274" s="11"/>
      <c r="F274" s="7"/>
      <c r="G274" s="7"/>
      <c r="H274" s="7"/>
      <c r="I274" s="11"/>
      <c r="J274" s="7"/>
      <c r="K274" s="7"/>
      <c r="L274" s="7"/>
      <c r="M274" s="11"/>
      <c r="N274" s="7"/>
      <c r="O274" s="7"/>
      <c r="P274" s="7"/>
      <c r="Q274" s="11"/>
      <c r="R274" s="7"/>
      <c r="S274" s="7"/>
      <c r="T274" s="7"/>
      <c r="U274" s="7"/>
      <c r="V274" s="7"/>
      <c r="W274" s="7"/>
      <c r="X274" s="7"/>
      <c r="Y274" s="11"/>
      <c r="Z274" s="7"/>
      <c r="AA274" s="10"/>
      <c r="AB274" s="10"/>
    </row>
    <row r="275" ht="12.0" customHeight="1">
      <c r="A275" s="7"/>
      <c r="B275" s="7"/>
      <c r="C275" s="7"/>
      <c r="D275" s="7"/>
      <c r="E275" s="11"/>
      <c r="F275" s="7"/>
      <c r="G275" s="7"/>
      <c r="H275" s="7"/>
      <c r="I275" s="11"/>
      <c r="J275" s="7"/>
      <c r="K275" s="7"/>
      <c r="L275" s="7"/>
      <c r="M275" s="11"/>
      <c r="N275" s="7"/>
      <c r="O275" s="7"/>
      <c r="P275" s="7"/>
      <c r="Q275" s="11"/>
      <c r="R275" s="7"/>
      <c r="S275" s="7"/>
      <c r="T275" s="7"/>
      <c r="U275" s="7"/>
      <c r="V275" s="7"/>
      <c r="W275" s="7"/>
      <c r="X275" s="7"/>
      <c r="Y275" s="11"/>
      <c r="Z275" s="7"/>
      <c r="AA275" s="10"/>
      <c r="AB275" s="10"/>
    </row>
    <row r="276" ht="12.0" customHeight="1">
      <c r="A276" s="7"/>
      <c r="B276" s="7"/>
      <c r="C276" s="7"/>
      <c r="D276" s="7"/>
      <c r="E276" s="11"/>
      <c r="F276" s="7"/>
      <c r="G276" s="7"/>
      <c r="H276" s="7"/>
      <c r="I276" s="11"/>
      <c r="J276" s="7"/>
      <c r="K276" s="7"/>
      <c r="L276" s="7"/>
      <c r="M276" s="11"/>
      <c r="N276" s="7"/>
      <c r="O276" s="7"/>
      <c r="P276" s="7"/>
      <c r="Q276" s="11"/>
      <c r="R276" s="7"/>
      <c r="S276" s="7"/>
      <c r="T276" s="7"/>
      <c r="U276" s="7"/>
      <c r="V276" s="7"/>
      <c r="W276" s="7"/>
      <c r="X276" s="7"/>
      <c r="Y276" s="11"/>
      <c r="Z276" s="7"/>
      <c r="AA276" s="10"/>
      <c r="AB276" s="10"/>
    </row>
    <row r="277" ht="12.0" customHeight="1">
      <c r="A277" s="7"/>
      <c r="B277" s="7"/>
      <c r="C277" s="7"/>
      <c r="D277" s="7"/>
      <c r="E277" s="11"/>
      <c r="F277" s="7"/>
      <c r="G277" s="7"/>
      <c r="H277" s="7"/>
      <c r="I277" s="11"/>
      <c r="J277" s="7"/>
      <c r="K277" s="7"/>
      <c r="L277" s="7"/>
      <c r="M277" s="11"/>
      <c r="N277" s="7"/>
      <c r="O277" s="7"/>
      <c r="P277" s="7"/>
      <c r="Q277" s="11"/>
      <c r="R277" s="7"/>
      <c r="S277" s="7"/>
      <c r="T277" s="7"/>
      <c r="U277" s="7"/>
      <c r="V277" s="7"/>
      <c r="W277" s="7"/>
      <c r="X277" s="7"/>
      <c r="Y277" s="11"/>
      <c r="Z277" s="7"/>
      <c r="AA277" s="10"/>
      <c r="AB277" s="10"/>
    </row>
    <row r="278" ht="12.0" customHeight="1">
      <c r="A278" s="7"/>
      <c r="B278" s="7"/>
      <c r="C278" s="7"/>
      <c r="D278" s="7"/>
      <c r="E278" s="11"/>
      <c r="F278" s="7"/>
      <c r="G278" s="7"/>
      <c r="H278" s="7"/>
      <c r="I278" s="11"/>
      <c r="J278" s="7"/>
      <c r="K278" s="7"/>
      <c r="L278" s="7"/>
      <c r="M278" s="11"/>
      <c r="N278" s="7"/>
      <c r="O278" s="7"/>
      <c r="P278" s="7"/>
      <c r="Q278" s="11"/>
      <c r="R278" s="7"/>
      <c r="S278" s="7"/>
      <c r="T278" s="7"/>
      <c r="U278" s="7"/>
      <c r="V278" s="7"/>
      <c r="W278" s="7"/>
      <c r="X278" s="7"/>
      <c r="Y278" s="11"/>
      <c r="Z278" s="7"/>
      <c r="AA278" s="10"/>
      <c r="AB278" s="10"/>
    </row>
    <row r="279" ht="12.0" customHeight="1">
      <c r="A279" s="7"/>
      <c r="B279" s="7"/>
      <c r="C279" s="7"/>
      <c r="D279" s="7"/>
      <c r="E279" s="11"/>
      <c r="F279" s="7"/>
      <c r="G279" s="7"/>
      <c r="H279" s="7"/>
      <c r="I279" s="11"/>
      <c r="J279" s="7"/>
      <c r="K279" s="7"/>
      <c r="L279" s="7"/>
      <c r="M279" s="11"/>
      <c r="N279" s="7"/>
      <c r="O279" s="7"/>
      <c r="P279" s="7"/>
      <c r="Q279" s="11"/>
      <c r="R279" s="7"/>
      <c r="S279" s="7"/>
      <c r="T279" s="7"/>
      <c r="U279" s="7"/>
      <c r="V279" s="7"/>
      <c r="W279" s="7"/>
      <c r="X279" s="7"/>
      <c r="Y279" s="11"/>
      <c r="Z279" s="7"/>
      <c r="AA279" s="10"/>
      <c r="AB279" s="10"/>
    </row>
    <row r="280" ht="12.0" customHeight="1">
      <c r="A280" s="7"/>
      <c r="B280" s="7"/>
      <c r="C280" s="7"/>
      <c r="D280" s="7"/>
      <c r="E280" s="11"/>
      <c r="F280" s="7"/>
      <c r="G280" s="7"/>
      <c r="H280" s="7"/>
      <c r="I280" s="11"/>
      <c r="J280" s="7"/>
      <c r="K280" s="7"/>
      <c r="L280" s="7"/>
      <c r="M280" s="11"/>
      <c r="N280" s="7"/>
      <c r="O280" s="7"/>
      <c r="P280" s="7"/>
      <c r="Q280" s="11"/>
      <c r="R280" s="7"/>
      <c r="S280" s="7"/>
      <c r="T280" s="7"/>
      <c r="U280" s="7"/>
      <c r="V280" s="7"/>
      <c r="W280" s="7"/>
      <c r="X280" s="7"/>
      <c r="Y280" s="11"/>
      <c r="Z280" s="7"/>
      <c r="AA280" s="10"/>
      <c r="AB280" s="10"/>
    </row>
    <row r="281" ht="12.0" customHeight="1">
      <c r="A281" s="7"/>
      <c r="B281" s="7"/>
      <c r="C281" s="7"/>
      <c r="D281" s="7"/>
      <c r="E281" s="11"/>
      <c r="F281" s="7"/>
      <c r="G281" s="7"/>
      <c r="H281" s="7"/>
      <c r="I281" s="11"/>
      <c r="J281" s="7"/>
      <c r="K281" s="7"/>
      <c r="L281" s="7"/>
      <c r="M281" s="11"/>
      <c r="N281" s="7"/>
      <c r="O281" s="7"/>
      <c r="P281" s="7"/>
      <c r="Q281" s="11"/>
      <c r="R281" s="7"/>
      <c r="S281" s="7"/>
      <c r="T281" s="7"/>
      <c r="U281" s="7"/>
      <c r="V281" s="7"/>
      <c r="W281" s="7"/>
      <c r="X281" s="7"/>
      <c r="Y281" s="11"/>
      <c r="Z281" s="7"/>
      <c r="AA281" s="10"/>
      <c r="AB281" s="10"/>
    </row>
    <row r="282" ht="12.0" customHeight="1">
      <c r="A282" s="7"/>
      <c r="B282" s="7"/>
      <c r="C282" s="7"/>
      <c r="D282" s="7"/>
      <c r="E282" s="11"/>
      <c r="F282" s="7"/>
      <c r="G282" s="7"/>
      <c r="H282" s="7"/>
      <c r="I282" s="11"/>
      <c r="J282" s="7"/>
      <c r="K282" s="7"/>
      <c r="L282" s="7"/>
      <c r="M282" s="11"/>
      <c r="N282" s="7"/>
      <c r="O282" s="7"/>
      <c r="P282" s="7"/>
      <c r="Q282" s="11"/>
      <c r="R282" s="7"/>
      <c r="S282" s="7"/>
      <c r="T282" s="7"/>
      <c r="U282" s="7"/>
      <c r="V282" s="7"/>
      <c r="W282" s="7"/>
      <c r="X282" s="7"/>
      <c r="Y282" s="11"/>
      <c r="Z282" s="7"/>
      <c r="AA282" s="10"/>
      <c r="AB282" s="10"/>
    </row>
    <row r="283" ht="12.0" customHeight="1">
      <c r="A283" s="7"/>
      <c r="B283" s="7"/>
      <c r="C283" s="7"/>
      <c r="D283" s="7"/>
      <c r="E283" s="11"/>
      <c r="F283" s="7"/>
      <c r="G283" s="7"/>
      <c r="H283" s="7"/>
      <c r="I283" s="11"/>
      <c r="J283" s="7"/>
      <c r="K283" s="7"/>
      <c r="L283" s="7"/>
      <c r="M283" s="11"/>
      <c r="N283" s="7"/>
      <c r="O283" s="7"/>
      <c r="P283" s="7"/>
      <c r="Q283" s="11"/>
      <c r="R283" s="7"/>
      <c r="S283" s="7"/>
      <c r="T283" s="7"/>
      <c r="U283" s="7"/>
      <c r="V283" s="7"/>
      <c r="W283" s="7"/>
      <c r="X283" s="7"/>
      <c r="Y283" s="11"/>
      <c r="Z283" s="7"/>
      <c r="AA283" s="10"/>
      <c r="AB283" s="10"/>
    </row>
    <row r="284" ht="12.0" customHeight="1">
      <c r="A284" s="7"/>
      <c r="B284" s="7"/>
      <c r="C284" s="7"/>
      <c r="D284" s="7"/>
      <c r="E284" s="11"/>
      <c r="F284" s="7"/>
      <c r="G284" s="7"/>
      <c r="H284" s="7"/>
      <c r="I284" s="11"/>
      <c r="J284" s="7"/>
      <c r="K284" s="7"/>
      <c r="L284" s="7"/>
      <c r="M284" s="11"/>
      <c r="N284" s="7"/>
      <c r="O284" s="7"/>
      <c r="P284" s="7"/>
      <c r="Q284" s="11"/>
      <c r="R284" s="7"/>
      <c r="S284" s="7"/>
      <c r="T284" s="7"/>
      <c r="U284" s="7"/>
      <c r="V284" s="7"/>
      <c r="W284" s="7"/>
      <c r="X284" s="7"/>
      <c r="Y284" s="11"/>
      <c r="Z284" s="7"/>
      <c r="AA284" s="10"/>
      <c r="AB284" s="10"/>
    </row>
    <row r="285" ht="12.0" customHeight="1">
      <c r="A285" s="7"/>
      <c r="B285" s="7"/>
      <c r="C285" s="7"/>
      <c r="D285" s="7"/>
      <c r="E285" s="11"/>
      <c r="F285" s="7"/>
      <c r="G285" s="7"/>
      <c r="H285" s="7"/>
      <c r="I285" s="11"/>
      <c r="J285" s="7"/>
      <c r="K285" s="7"/>
      <c r="L285" s="7"/>
      <c r="M285" s="11"/>
      <c r="N285" s="7"/>
      <c r="O285" s="7"/>
      <c r="P285" s="7"/>
      <c r="Q285" s="11"/>
      <c r="R285" s="7"/>
      <c r="S285" s="7"/>
      <c r="T285" s="7"/>
      <c r="U285" s="7"/>
      <c r="V285" s="7"/>
      <c r="W285" s="7"/>
      <c r="X285" s="7"/>
      <c r="Y285" s="11"/>
      <c r="Z285" s="7"/>
      <c r="AA285" s="10"/>
      <c r="AB285" s="10"/>
    </row>
    <row r="286" ht="12.0" customHeight="1">
      <c r="A286" s="7"/>
      <c r="B286" s="7"/>
      <c r="C286" s="7"/>
      <c r="D286" s="7"/>
      <c r="E286" s="11"/>
      <c r="F286" s="7"/>
      <c r="G286" s="7"/>
      <c r="H286" s="7"/>
      <c r="I286" s="11"/>
      <c r="J286" s="7"/>
      <c r="K286" s="7"/>
      <c r="L286" s="7"/>
      <c r="M286" s="11"/>
      <c r="N286" s="7"/>
      <c r="O286" s="7"/>
      <c r="P286" s="7"/>
      <c r="Q286" s="11"/>
      <c r="R286" s="7"/>
      <c r="S286" s="7"/>
      <c r="T286" s="7"/>
      <c r="U286" s="7"/>
      <c r="V286" s="7"/>
      <c r="W286" s="7"/>
      <c r="X286" s="7"/>
      <c r="Y286" s="11"/>
      <c r="Z286" s="7"/>
      <c r="AA286" s="10"/>
      <c r="AB286" s="10"/>
    </row>
    <row r="287" ht="12.0" customHeight="1">
      <c r="A287" s="7"/>
      <c r="B287" s="7"/>
      <c r="C287" s="7"/>
      <c r="D287" s="7"/>
      <c r="E287" s="11"/>
      <c r="F287" s="7"/>
      <c r="G287" s="7"/>
      <c r="H287" s="7"/>
      <c r="I287" s="11"/>
      <c r="J287" s="7"/>
      <c r="K287" s="7"/>
      <c r="L287" s="7"/>
      <c r="M287" s="11"/>
      <c r="N287" s="7"/>
      <c r="O287" s="7"/>
      <c r="P287" s="7"/>
      <c r="Q287" s="11"/>
      <c r="R287" s="7"/>
      <c r="S287" s="7"/>
      <c r="T287" s="7"/>
      <c r="U287" s="7"/>
      <c r="V287" s="7"/>
      <c r="W287" s="7"/>
      <c r="X287" s="7"/>
      <c r="Y287" s="11"/>
      <c r="Z287" s="7"/>
      <c r="AA287" s="10"/>
      <c r="AB287" s="10"/>
    </row>
    <row r="288" ht="12.0" customHeight="1">
      <c r="A288" s="7"/>
      <c r="B288" s="7"/>
      <c r="C288" s="7"/>
      <c r="D288" s="7"/>
      <c r="E288" s="11"/>
      <c r="F288" s="7"/>
      <c r="G288" s="7"/>
      <c r="H288" s="7"/>
      <c r="I288" s="11"/>
      <c r="J288" s="7"/>
      <c r="K288" s="7"/>
      <c r="L288" s="7"/>
      <c r="M288" s="11"/>
      <c r="N288" s="7"/>
      <c r="O288" s="7"/>
      <c r="P288" s="7"/>
      <c r="Q288" s="11"/>
      <c r="R288" s="7"/>
      <c r="S288" s="7"/>
      <c r="T288" s="7"/>
      <c r="U288" s="7"/>
      <c r="V288" s="7"/>
      <c r="W288" s="7"/>
      <c r="X288" s="7"/>
      <c r="Y288" s="11"/>
      <c r="Z288" s="7"/>
      <c r="AA288" s="10"/>
      <c r="AB288" s="10"/>
    </row>
    <row r="289" ht="12.0" customHeight="1">
      <c r="A289" s="7"/>
      <c r="B289" s="7"/>
      <c r="C289" s="7"/>
      <c r="D289" s="7"/>
      <c r="E289" s="11"/>
      <c r="F289" s="7"/>
      <c r="G289" s="7"/>
      <c r="H289" s="7"/>
      <c r="I289" s="11"/>
      <c r="J289" s="7"/>
      <c r="K289" s="7"/>
      <c r="L289" s="7"/>
      <c r="M289" s="11"/>
      <c r="N289" s="7"/>
      <c r="O289" s="7"/>
      <c r="P289" s="7"/>
      <c r="Q289" s="11"/>
      <c r="R289" s="7"/>
      <c r="S289" s="7"/>
      <c r="T289" s="7"/>
      <c r="U289" s="7"/>
      <c r="V289" s="7"/>
      <c r="W289" s="7"/>
      <c r="X289" s="7"/>
      <c r="Y289" s="11"/>
      <c r="Z289" s="7"/>
      <c r="AA289" s="10"/>
      <c r="AB289" s="10"/>
    </row>
    <row r="290" ht="12.0" customHeight="1">
      <c r="A290" s="7"/>
      <c r="B290" s="7"/>
      <c r="C290" s="7"/>
      <c r="D290" s="7"/>
      <c r="E290" s="11"/>
      <c r="F290" s="7"/>
      <c r="G290" s="7"/>
      <c r="H290" s="7"/>
      <c r="I290" s="11"/>
      <c r="J290" s="7"/>
      <c r="K290" s="7"/>
      <c r="L290" s="7"/>
      <c r="M290" s="11"/>
      <c r="N290" s="7"/>
      <c r="O290" s="7"/>
      <c r="P290" s="7"/>
      <c r="Q290" s="11"/>
      <c r="R290" s="7"/>
      <c r="S290" s="7"/>
      <c r="T290" s="7"/>
      <c r="U290" s="7"/>
      <c r="V290" s="7"/>
      <c r="W290" s="7"/>
      <c r="X290" s="7"/>
      <c r="Y290" s="11"/>
      <c r="Z290" s="7"/>
      <c r="AA290" s="10"/>
      <c r="AB290" s="10"/>
    </row>
    <row r="291" ht="12.0" customHeight="1">
      <c r="A291" s="7"/>
      <c r="B291" s="7"/>
      <c r="C291" s="7"/>
      <c r="D291" s="7"/>
      <c r="E291" s="11"/>
      <c r="F291" s="7"/>
      <c r="G291" s="7"/>
      <c r="H291" s="7"/>
      <c r="I291" s="11"/>
      <c r="J291" s="7"/>
      <c r="K291" s="7"/>
      <c r="L291" s="7"/>
      <c r="M291" s="11"/>
      <c r="N291" s="7"/>
      <c r="O291" s="7"/>
      <c r="P291" s="7"/>
      <c r="Q291" s="11"/>
      <c r="R291" s="7"/>
      <c r="S291" s="7"/>
      <c r="T291" s="7"/>
      <c r="U291" s="7"/>
      <c r="V291" s="7"/>
      <c r="W291" s="7"/>
      <c r="X291" s="7"/>
      <c r="Y291" s="11"/>
      <c r="Z291" s="7"/>
      <c r="AA291" s="10"/>
      <c r="AB291" s="10"/>
    </row>
    <row r="292" ht="12.0" customHeight="1">
      <c r="A292" s="7"/>
      <c r="B292" s="7"/>
      <c r="C292" s="7"/>
      <c r="D292" s="7"/>
      <c r="E292" s="11"/>
      <c r="F292" s="7"/>
      <c r="G292" s="7"/>
      <c r="H292" s="7"/>
      <c r="I292" s="11"/>
      <c r="J292" s="7"/>
      <c r="K292" s="7"/>
      <c r="L292" s="7"/>
      <c r="M292" s="11"/>
      <c r="N292" s="7"/>
      <c r="O292" s="7"/>
      <c r="P292" s="7"/>
      <c r="Q292" s="11"/>
      <c r="R292" s="7"/>
      <c r="S292" s="7"/>
      <c r="T292" s="7"/>
      <c r="U292" s="7"/>
      <c r="V292" s="7"/>
      <c r="W292" s="7"/>
      <c r="X292" s="7"/>
      <c r="Y292" s="11"/>
      <c r="Z292" s="7"/>
      <c r="AA292" s="10"/>
      <c r="AB292" s="10"/>
    </row>
    <row r="293" ht="12.0" customHeight="1">
      <c r="A293" s="7"/>
      <c r="B293" s="7"/>
      <c r="C293" s="7"/>
      <c r="D293" s="7"/>
      <c r="E293" s="11"/>
      <c r="F293" s="7"/>
      <c r="G293" s="7"/>
      <c r="H293" s="7"/>
      <c r="I293" s="11"/>
      <c r="J293" s="7"/>
      <c r="K293" s="7"/>
      <c r="L293" s="7"/>
      <c r="M293" s="11"/>
      <c r="N293" s="7"/>
      <c r="O293" s="7"/>
      <c r="P293" s="7"/>
      <c r="Q293" s="11"/>
      <c r="R293" s="7"/>
      <c r="S293" s="7"/>
      <c r="T293" s="7"/>
      <c r="U293" s="7"/>
      <c r="V293" s="7"/>
      <c r="W293" s="7"/>
      <c r="X293" s="7"/>
      <c r="Y293" s="11"/>
      <c r="Z293" s="7"/>
      <c r="AA293" s="10"/>
      <c r="AB293" s="10"/>
    </row>
    <row r="294" ht="12.0" customHeight="1">
      <c r="A294" s="7"/>
      <c r="B294" s="7"/>
      <c r="C294" s="7"/>
      <c r="D294" s="7"/>
      <c r="E294" s="11"/>
      <c r="F294" s="7"/>
      <c r="G294" s="7"/>
      <c r="H294" s="7"/>
      <c r="I294" s="11"/>
      <c r="J294" s="7"/>
      <c r="K294" s="7"/>
      <c r="L294" s="7"/>
      <c r="M294" s="11"/>
      <c r="N294" s="7"/>
      <c r="O294" s="7"/>
      <c r="P294" s="7"/>
      <c r="Q294" s="11"/>
      <c r="R294" s="7"/>
      <c r="S294" s="7"/>
      <c r="T294" s="7"/>
      <c r="U294" s="7"/>
      <c r="V294" s="7"/>
      <c r="W294" s="7"/>
      <c r="X294" s="7"/>
      <c r="Y294" s="11"/>
      <c r="Z294" s="7"/>
      <c r="AA294" s="10"/>
      <c r="AB294" s="10"/>
    </row>
    <row r="295" ht="12.0" customHeight="1">
      <c r="A295" s="7"/>
      <c r="B295" s="7"/>
      <c r="C295" s="7"/>
      <c r="D295" s="7"/>
      <c r="E295" s="11"/>
      <c r="F295" s="7"/>
      <c r="G295" s="7"/>
      <c r="H295" s="7"/>
      <c r="I295" s="11"/>
      <c r="J295" s="7"/>
      <c r="K295" s="7"/>
      <c r="L295" s="7"/>
      <c r="M295" s="11"/>
      <c r="N295" s="7"/>
      <c r="O295" s="7"/>
      <c r="P295" s="7"/>
      <c r="Q295" s="11"/>
      <c r="R295" s="7"/>
      <c r="S295" s="7"/>
      <c r="T295" s="7"/>
      <c r="U295" s="7"/>
      <c r="V295" s="7"/>
      <c r="W295" s="7"/>
      <c r="X295" s="7"/>
      <c r="Y295" s="11"/>
      <c r="Z295" s="7"/>
      <c r="AA295" s="10"/>
      <c r="AB295" s="10"/>
    </row>
    <row r="296" ht="12.0" customHeight="1">
      <c r="A296" s="7"/>
      <c r="B296" s="7"/>
      <c r="C296" s="7"/>
      <c r="D296" s="7"/>
      <c r="E296" s="11"/>
      <c r="F296" s="7"/>
      <c r="G296" s="7"/>
      <c r="H296" s="7"/>
      <c r="I296" s="11"/>
      <c r="J296" s="7"/>
      <c r="K296" s="7"/>
      <c r="L296" s="7"/>
      <c r="M296" s="11"/>
      <c r="N296" s="7"/>
      <c r="O296" s="7"/>
      <c r="P296" s="7"/>
      <c r="Q296" s="11"/>
      <c r="R296" s="7"/>
      <c r="S296" s="7"/>
      <c r="T296" s="7"/>
      <c r="U296" s="7"/>
      <c r="V296" s="7"/>
      <c r="W296" s="7"/>
      <c r="X296" s="7"/>
      <c r="Y296" s="11"/>
      <c r="Z296" s="7"/>
      <c r="AA296" s="10"/>
      <c r="AB296" s="10"/>
    </row>
    <row r="297" ht="12.0" customHeight="1">
      <c r="A297" s="7"/>
      <c r="B297" s="7"/>
      <c r="C297" s="7"/>
      <c r="D297" s="7"/>
      <c r="E297" s="11"/>
      <c r="F297" s="7"/>
      <c r="G297" s="7"/>
      <c r="H297" s="7"/>
      <c r="I297" s="11"/>
      <c r="J297" s="7"/>
      <c r="K297" s="7"/>
      <c r="L297" s="7"/>
      <c r="M297" s="11"/>
      <c r="N297" s="7"/>
      <c r="O297" s="7"/>
      <c r="P297" s="7"/>
      <c r="Q297" s="11"/>
      <c r="R297" s="7"/>
      <c r="S297" s="7"/>
      <c r="T297" s="7"/>
      <c r="U297" s="7"/>
      <c r="V297" s="7"/>
      <c r="W297" s="7"/>
      <c r="X297" s="7"/>
      <c r="Y297" s="11"/>
      <c r="Z297" s="7"/>
      <c r="AA297" s="10"/>
      <c r="AB297" s="10"/>
    </row>
    <row r="298" ht="12.0" customHeight="1">
      <c r="A298" s="7"/>
      <c r="B298" s="7"/>
      <c r="C298" s="7"/>
      <c r="D298" s="7"/>
      <c r="E298" s="11"/>
      <c r="F298" s="7"/>
      <c r="G298" s="7"/>
      <c r="H298" s="7"/>
      <c r="I298" s="11"/>
      <c r="J298" s="7"/>
      <c r="K298" s="7"/>
      <c r="L298" s="7"/>
      <c r="M298" s="11"/>
      <c r="N298" s="7"/>
      <c r="O298" s="7"/>
      <c r="P298" s="7"/>
      <c r="Q298" s="11"/>
      <c r="R298" s="7"/>
      <c r="S298" s="7"/>
      <c r="T298" s="7"/>
      <c r="U298" s="7"/>
      <c r="V298" s="7"/>
      <c r="W298" s="7"/>
      <c r="X298" s="7"/>
      <c r="Y298" s="11"/>
      <c r="Z298" s="7"/>
      <c r="AA298" s="10"/>
      <c r="AB298" s="10"/>
    </row>
    <row r="299" ht="12.0" customHeight="1">
      <c r="A299" s="7"/>
      <c r="B299" s="7"/>
      <c r="C299" s="7"/>
      <c r="D299" s="7"/>
      <c r="E299" s="11"/>
      <c r="F299" s="7"/>
      <c r="G299" s="7"/>
      <c r="H299" s="7"/>
      <c r="I299" s="11"/>
      <c r="J299" s="7"/>
      <c r="K299" s="7"/>
      <c r="L299" s="7"/>
      <c r="M299" s="11"/>
      <c r="N299" s="7"/>
      <c r="O299" s="7"/>
      <c r="P299" s="7"/>
      <c r="Q299" s="11"/>
      <c r="R299" s="7"/>
      <c r="S299" s="7"/>
      <c r="T299" s="7"/>
      <c r="U299" s="7"/>
      <c r="V299" s="7"/>
      <c r="W299" s="7"/>
      <c r="X299" s="7"/>
      <c r="Y299" s="11"/>
      <c r="Z299" s="7"/>
      <c r="AA299" s="10"/>
      <c r="AB299" s="10"/>
    </row>
    <row r="300" ht="12.0" customHeight="1">
      <c r="A300" s="7"/>
      <c r="B300" s="7"/>
      <c r="C300" s="7"/>
      <c r="D300" s="7"/>
      <c r="E300" s="11"/>
      <c r="F300" s="7"/>
      <c r="G300" s="7"/>
      <c r="H300" s="7"/>
      <c r="I300" s="11"/>
      <c r="J300" s="7"/>
      <c r="K300" s="7"/>
      <c r="L300" s="7"/>
      <c r="M300" s="11"/>
      <c r="N300" s="7"/>
      <c r="O300" s="7"/>
      <c r="P300" s="7"/>
      <c r="Q300" s="11"/>
      <c r="R300" s="7"/>
      <c r="S300" s="7"/>
      <c r="T300" s="7"/>
      <c r="U300" s="7"/>
      <c r="V300" s="7"/>
      <c r="W300" s="7"/>
      <c r="X300" s="7"/>
      <c r="Y300" s="11"/>
      <c r="Z300" s="7"/>
      <c r="AA300" s="10"/>
      <c r="AB300" s="10"/>
    </row>
    <row r="301" ht="12.0" customHeight="1">
      <c r="A301" s="7"/>
      <c r="B301" s="7"/>
      <c r="C301" s="7"/>
      <c r="D301" s="7"/>
      <c r="E301" s="11"/>
      <c r="F301" s="7"/>
      <c r="G301" s="7"/>
      <c r="H301" s="7"/>
      <c r="I301" s="11"/>
      <c r="J301" s="7"/>
      <c r="K301" s="7"/>
      <c r="L301" s="7"/>
      <c r="M301" s="11"/>
      <c r="N301" s="7"/>
      <c r="O301" s="7"/>
      <c r="P301" s="7"/>
      <c r="Q301" s="11"/>
      <c r="R301" s="7"/>
      <c r="S301" s="7"/>
      <c r="T301" s="7"/>
      <c r="U301" s="7"/>
      <c r="V301" s="7"/>
      <c r="W301" s="7"/>
      <c r="X301" s="7"/>
      <c r="Y301" s="11"/>
      <c r="Z301" s="7"/>
      <c r="AA301" s="10"/>
      <c r="AB301" s="10"/>
    </row>
    <row r="302" ht="12.0" customHeight="1">
      <c r="A302" s="7"/>
      <c r="B302" s="7"/>
      <c r="C302" s="7"/>
      <c r="D302" s="7"/>
      <c r="E302" s="11"/>
      <c r="F302" s="7"/>
      <c r="G302" s="7"/>
      <c r="H302" s="7"/>
      <c r="I302" s="11"/>
      <c r="J302" s="7"/>
      <c r="K302" s="7"/>
      <c r="L302" s="7"/>
      <c r="M302" s="11"/>
      <c r="N302" s="7"/>
      <c r="O302" s="7"/>
      <c r="P302" s="7"/>
      <c r="Q302" s="11"/>
      <c r="R302" s="7"/>
      <c r="S302" s="7"/>
      <c r="T302" s="7"/>
      <c r="U302" s="7"/>
      <c r="V302" s="7"/>
      <c r="W302" s="7"/>
      <c r="X302" s="7"/>
      <c r="Y302" s="11"/>
      <c r="Z302" s="7"/>
      <c r="AA302" s="10"/>
      <c r="AB302" s="10"/>
    </row>
    <row r="303" ht="12.0" customHeight="1">
      <c r="A303" s="7"/>
      <c r="B303" s="7"/>
      <c r="C303" s="7"/>
      <c r="D303" s="7"/>
      <c r="E303" s="11"/>
      <c r="F303" s="7"/>
      <c r="G303" s="7"/>
      <c r="H303" s="7"/>
      <c r="I303" s="11"/>
      <c r="J303" s="7"/>
      <c r="K303" s="7"/>
      <c r="L303" s="7"/>
      <c r="M303" s="11"/>
      <c r="N303" s="7"/>
      <c r="O303" s="7"/>
      <c r="P303" s="7"/>
      <c r="Q303" s="11"/>
      <c r="R303" s="7"/>
      <c r="S303" s="7"/>
      <c r="T303" s="7"/>
      <c r="U303" s="7"/>
      <c r="V303" s="7"/>
      <c r="W303" s="7"/>
      <c r="X303" s="7"/>
      <c r="Y303" s="11"/>
      <c r="Z303" s="7"/>
      <c r="AA303" s="10"/>
      <c r="AB303" s="10"/>
    </row>
    <row r="304" ht="12.0" customHeight="1">
      <c r="A304" s="7"/>
      <c r="B304" s="7"/>
      <c r="C304" s="7"/>
      <c r="D304" s="7"/>
      <c r="E304" s="11"/>
      <c r="F304" s="7"/>
      <c r="G304" s="7"/>
      <c r="H304" s="7"/>
      <c r="I304" s="11"/>
      <c r="J304" s="7"/>
      <c r="K304" s="7"/>
      <c r="L304" s="7"/>
      <c r="M304" s="11"/>
      <c r="N304" s="7"/>
      <c r="O304" s="7"/>
      <c r="P304" s="7"/>
      <c r="Q304" s="11"/>
      <c r="R304" s="7"/>
      <c r="S304" s="7"/>
      <c r="T304" s="7"/>
      <c r="U304" s="7"/>
      <c r="V304" s="7"/>
      <c r="W304" s="7"/>
      <c r="X304" s="7"/>
      <c r="Y304" s="11"/>
      <c r="Z304" s="7"/>
      <c r="AA304" s="10"/>
      <c r="AB304" s="10"/>
    </row>
    <row r="305" ht="12.0" customHeight="1">
      <c r="A305" s="7"/>
      <c r="B305" s="7"/>
      <c r="C305" s="7"/>
      <c r="D305" s="7"/>
      <c r="E305" s="11"/>
      <c r="F305" s="7"/>
      <c r="G305" s="7"/>
      <c r="H305" s="7"/>
      <c r="I305" s="11"/>
      <c r="J305" s="7"/>
      <c r="K305" s="7"/>
      <c r="L305" s="7"/>
      <c r="M305" s="11"/>
      <c r="N305" s="7"/>
      <c r="O305" s="7"/>
      <c r="P305" s="7"/>
      <c r="Q305" s="11"/>
      <c r="R305" s="7"/>
      <c r="S305" s="7"/>
      <c r="T305" s="7"/>
      <c r="U305" s="7"/>
      <c r="V305" s="7"/>
      <c r="W305" s="7"/>
      <c r="X305" s="7"/>
      <c r="Y305" s="11"/>
      <c r="Z305" s="7"/>
      <c r="AA305" s="10"/>
      <c r="AB305" s="10"/>
    </row>
    <row r="306" ht="12.0" customHeight="1">
      <c r="A306" s="7"/>
      <c r="B306" s="7"/>
      <c r="C306" s="7"/>
      <c r="D306" s="7"/>
      <c r="E306" s="11"/>
      <c r="F306" s="7"/>
      <c r="G306" s="7"/>
      <c r="H306" s="7"/>
      <c r="I306" s="11"/>
      <c r="J306" s="7"/>
      <c r="K306" s="7"/>
      <c r="L306" s="7"/>
      <c r="M306" s="11"/>
      <c r="N306" s="7"/>
      <c r="O306" s="7"/>
      <c r="P306" s="7"/>
      <c r="Q306" s="11"/>
      <c r="R306" s="7"/>
      <c r="S306" s="7"/>
      <c r="T306" s="7"/>
      <c r="U306" s="7"/>
      <c r="V306" s="7"/>
      <c r="W306" s="7"/>
      <c r="X306" s="7"/>
      <c r="Y306" s="11"/>
      <c r="Z306" s="7"/>
      <c r="AA306" s="10"/>
      <c r="AB306" s="10"/>
    </row>
    <row r="307" ht="12.0" customHeight="1">
      <c r="A307" s="7"/>
      <c r="B307" s="7"/>
      <c r="C307" s="7"/>
      <c r="D307" s="7"/>
      <c r="E307" s="11"/>
      <c r="F307" s="7"/>
      <c r="G307" s="7"/>
      <c r="H307" s="7"/>
      <c r="I307" s="11"/>
      <c r="J307" s="7"/>
      <c r="K307" s="7"/>
      <c r="L307" s="7"/>
      <c r="M307" s="11"/>
      <c r="N307" s="7"/>
      <c r="O307" s="7"/>
      <c r="P307" s="7"/>
      <c r="Q307" s="11"/>
      <c r="R307" s="7"/>
      <c r="S307" s="7"/>
      <c r="T307" s="7"/>
      <c r="U307" s="7"/>
      <c r="V307" s="7"/>
      <c r="W307" s="7"/>
      <c r="X307" s="7"/>
      <c r="Y307" s="11"/>
      <c r="Z307" s="7"/>
      <c r="AA307" s="10"/>
      <c r="AB307" s="10"/>
    </row>
    <row r="308" ht="12.0" customHeight="1">
      <c r="A308" s="7"/>
      <c r="B308" s="7"/>
      <c r="C308" s="7"/>
      <c r="D308" s="7"/>
      <c r="E308" s="11"/>
      <c r="F308" s="7"/>
      <c r="G308" s="7"/>
      <c r="H308" s="7"/>
      <c r="I308" s="11"/>
      <c r="J308" s="7"/>
      <c r="K308" s="7"/>
      <c r="L308" s="7"/>
      <c r="M308" s="11"/>
      <c r="N308" s="7"/>
      <c r="O308" s="7"/>
      <c r="P308" s="7"/>
      <c r="Q308" s="11"/>
      <c r="R308" s="7"/>
      <c r="S308" s="7"/>
      <c r="T308" s="7"/>
      <c r="U308" s="7"/>
      <c r="V308" s="7"/>
      <c r="W308" s="7"/>
      <c r="X308" s="7"/>
      <c r="Y308" s="11"/>
      <c r="Z308" s="7"/>
      <c r="AA308" s="10"/>
      <c r="AB308" s="10"/>
    </row>
    <row r="309" ht="12.0" customHeight="1">
      <c r="A309" s="7"/>
      <c r="B309" s="7"/>
      <c r="C309" s="7"/>
      <c r="D309" s="7"/>
      <c r="E309" s="11"/>
      <c r="F309" s="7"/>
      <c r="G309" s="7"/>
      <c r="H309" s="7"/>
      <c r="I309" s="11"/>
      <c r="J309" s="7"/>
      <c r="K309" s="7"/>
      <c r="L309" s="7"/>
      <c r="M309" s="11"/>
      <c r="N309" s="7"/>
      <c r="O309" s="7"/>
      <c r="P309" s="7"/>
      <c r="Q309" s="11"/>
      <c r="R309" s="7"/>
      <c r="S309" s="7"/>
      <c r="T309" s="7"/>
      <c r="U309" s="7"/>
      <c r="V309" s="7"/>
      <c r="W309" s="7"/>
      <c r="X309" s="7"/>
      <c r="Y309" s="11"/>
      <c r="Z309" s="7"/>
      <c r="AA309" s="10"/>
      <c r="AB309" s="10"/>
    </row>
    <row r="310" ht="12.0" customHeight="1">
      <c r="A310" s="7"/>
      <c r="B310" s="7"/>
      <c r="C310" s="7"/>
      <c r="D310" s="7"/>
      <c r="E310" s="11"/>
      <c r="F310" s="7"/>
      <c r="G310" s="7"/>
      <c r="H310" s="7"/>
      <c r="I310" s="11"/>
      <c r="J310" s="7"/>
      <c r="K310" s="7"/>
      <c r="L310" s="7"/>
      <c r="M310" s="11"/>
      <c r="N310" s="7"/>
      <c r="O310" s="7"/>
      <c r="P310" s="7"/>
      <c r="Q310" s="11"/>
      <c r="R310" s="7"/>
      <c r="S310" s="7"/>
      <c r="T310" s="7"/>
      <c r="U310" s="7"/>
      <c r="V310" s="7"/>
      <c r="W310" s="7"/>
      <c r="X310" s="7"/>
      <c r="Y310" s="11"/>
      <c r="Z310" s="7"/>
      <c r="AA310" s="10"/>
      <c r="AB310" s="10"/>
    </row>
    <row r="311" ht="12.0" customHeight="1">
      <c r="A311" s="7"/>
      <c r="B311" s="7"/>
      <c r="C311" s="7"/>
      <c r="D311" s="7"/>
      <c r="E311" s="11"/>
      <c r="F311" s="7"/>
      <c r="G311" s="7"/>
      <c r="H311" s="7"/>
      <c r="I311" s="11"/>
      <c r="J311" s="7"/>
      <c r="K311" s="7"/>
      <c r="L311" s="7"/>
      <c r="M311" s="11"/>
      <c r="N311" s="7"/>
      <c r="O311" s="7"/>
      <c r="P311" s="7"/>
      <c r="Q311" s="11"/>
      <c r="R311" s="7"/>
      <c r="S311" s="7"/>
      <c r="T311" s="7"/>
      <c r="U311" s="7"/>
      <c r="V311" s="7"/>
      <c r="W311" s="7"/>
      <c r="X311" s="7"/>
      <c r="Y311" s="11"/>
      <c r="Z311" s="7"/>
      <c r="AA311" s="10"/>
      <c r="AB311" s="10"/>
    </row>
    <row r="312" ht="12.0" customHeight="1">
      <c r="A312" s="7"/>
      <c r="B312" s="7"/>
      <c r="C312" s="7"/>
      <c r="D312" s="7"/>
      <c r="E312" s="11"/>
      <c r="F312" s="7"/>
      <c r="G312" s="7"/>
      <c r="H312" s="7"/>
      <c r="I312" s="11"/>
      <c r="J312" s="7"/>
      <c r="K312" s="7"/>
      <c r="L312" s="7"/>
      <c r="M312" s="11"/>
      <c r="N312" s="7"/>
      <c r="O312" s="7"/>
      <c r="P312" s="7"/>
      <c r="Q312" s="11"/>
      <c r="R312" s="7"/>
      <c r="S312" s="7"/>
      <c r="T312" s="7"/>
      <c r="U312" s="7"/>
      <c r="V312" s="7"/>
      <c r="W312" s="7"/>
      <c r="X312" s="7"/>
      <c r="Y312" s="11"/>
      <c r="Z312" s="7"/>
      <c r="AA312" s="10"/>
      <c r="AB312" s="10"/>
    </row>
    <row r="313" ht="12.0" customHeight="1">
      <c r="A313" s="7"/>
      <c r="B313" s="7"/>
      <c r="C313" s="7"/>
      <c r="D313" s="7"/>
      <c r="E313" s="11"/>
      <c r="F313" s="7"/>
      <c r="G313" s="7"/>
      <c r="H313" s="7"/>
      <c r="I313" s="11"/>
      <c r="J313" s="7"/>
      <c r="K313" s="7"/>
      <c r="L313" s="7"/>
      <c r="M313" s="11"/>
      <c r="N313" s="7"/>
      <c r="O313" s="7"/>
      <c r="P313" s="7"/>
      <c r="Q313" s="11"/>
      <c r="R313" s="7"/>
      <c r="S313" s="7"/>
      <c r="T313" s="7"/>
      <c r="U313" s="7"/>
      <c r="V313" s="7"/>
      <c r="W313" s="7"/>
      <c r="X313" s="7"/>
      <c r="Y313" s="11"/>
      <c r="Z313" s="7"/>
      <c r="AA313" s="10"/>
      <c r="AB313" s="10"/>
    </row>
    <row r="314" ht="12.0" customHeight="1">
      <c r="A314" s="7"/>
      <c r="B314" s="7"/>
      <c r="C314" s="7"/>
      <c r="D314" s="7"/>
      <c r="E314" s="11"/>
      <c r="F314" s="7"/>
      <c r="G314" s="7"/>
      <c r="H314" s="7"/>
      <c r="I314" s="11"/>
      <c r="J314" s="7"/>
      <c r="K314" s="7"/>
      <c r="L314" s="7"/>
      <c r="M314" s="11"/>
      <c r="N314" s="7"/>
      <c r="O314" s="7"/>
      <c r="P314" s="7"/>
      <c r="Q314" s="11"/>
      <c r="R314" s="7"/>
      <c r="S314" s="7"/>
      <c r="T314" s="7"/>
      <c r="U314" s="7"/>
      <c r="V314" s="7"/>
      <c r="W314" s="7"/>
      <c r="X314" s="7"/>
      <c r="Y314" s="11"/>
      <c r="Z314" s="7"/>
      <c r="AA314" s="10"/>
      <c r="AB314" s="10"/>
    </row>
    <row r="315" ht="12.0" customHeight="1">
      <c r="A315" s="7"/>
      <c r="B315" s="7"/>
      <c r="C315" s="7"/>
      <c r="D315" s="7"/>
      <c r="E315" s="11"/>
      <c r="F315" s="7"/>
      <c r="G315" s="7"/>
      <c r="H315" s="7"/>
      <c r="I315" s="11"/>
      <c r="J315" s="7"/>
      <c r="K315" s="7"/>
      <c r="L315" s="7"/>
      <c r="M315" s="11"/>
      <c r="N315" s="7"/>
      <c r="O315" s="7"/>
      <c r="P315" s="7"/>
      <c r="Q315" s="11"/>
      <c r="R315" s="7"/>
      <c r="S315" s="7"/>
      <c r="T315" s="7"/>
      <c r="U315" s="7"/>
      <c r="V315" s="7"/>
      <c r="W315" s="7"/>
      <c r="X315" s="7"/>
      <c r="Y315" s="11"/>
      <c r="Z315" s="7"/>
      <c r="AA315" s="10"/>
      <c r="AB315" s="10"/>
    </row>
    <row r="316" ht="12.0" customHeight="1">
      <c r="A316" s="7"/>
      <c r="B316" s="7"/>
      <c r="C316" s="7"/>
      <c r="D316" s="7"/>
      <c r="E316" s="11"/>
      <c r="F316" s="7"/>
      <c r="G316" s="7"/>
      <c r="H316" s="7"/>
      <c r="I316" s="11"/>
      <c r="J316" s="7"/>
      <c r="K316" s="7"/>
      <c r="L316" s="7"/>
      <c r="M316" s="11"/>
      <c r="N316" s="7"/>
      <c r="O316" s="7"/>
      <c r="P316" s="7"/>
      <c r="Q316" s="11"/>
      <c r="R316" s="7"/>
      <c r="S316" s="7"/>
      <c r="T316" s="7"/>
      <c r="U316" s="7"/>
      <c r="V316" s="7"/>
      <c r="W316" s="7"/>
      <c r="X316" s="7"/>
      <c r="Y316" s="11"/>
      <c r="Z316" s="7"/>
      <c r="AA316" s="10"/>
      <c r="AB316" s="10"/>
    </row>
    <row r="317" ht="12.0" customHeight="1">
      <c r="A317" s="7"/>
      <c r="B317" s="7"/>
      <c r="C317" s="7"/>
      <c r="D317" s="7"/>
      <c r="E317" s="11"/>
      <c r="F317" s="7"/>
      <c r="G317" s="7"/>
      <c r="H317" s="7"/>
      <c r="I317" s="11"/>
      <c r="J317" s="7"/>
      <c r="K317" s="7"/>
      <c r="L317" s="7"/>
      <c r="M317" s="11"/>
      <c r="N317" s="7"/>
      <c r="O317" s="7"/>
      <c r="P317" s="7"/>
      <c r="Q317" s="11"/>
      <c r="R317" s="7"/>
      <c r="S317" s="7"/>
      <c r="T317" s="7"/>
      <c r="U317" s="7"/>
      <c r="V317" s="7"/>
      <c r="W317" s="7"/>
      <c r="X317" s="7"/>
      <c r="Y317" s="11"/>
      <c r="Z317" s="7"/>
      <c r="AA317" s="10"/>
      <c r="AB317" s="10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2023-05-15T10:13:37Z</dcterms:created>
  <dc:creator>Domenico Manna</dc:creator>
</cp:coreProperties>
</file>